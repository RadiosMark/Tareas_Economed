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3\"/>
    </mc:Choice>
  </mc:AlternateContent>
  <xr:revisionPtr revIDLastSave="0" documentId="13_ncr:1_{1D40113F-D7CE-45CD-9A04-805A9C0962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g1-Norma" sheetId="6" r:id="rId1"/>
    <sheet name="preg2-Optima" sheetId="5" r:id="rId2"/>
    <sheet name="preg1 sin politica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6" l="1"/>
  <c r="D99" i="6"/>
  <c r="C129" i="5"/>
  <c r="J61" i="5"/>
  <c r="G41" i="5"/>
  <c r="D87" i="5" s="1"/>
  <c r="F41" i="5"/>
  <c r="D105" i="5" s="1"/>
  <c r="G24" i="5"/>
  <c r="F25" i="5"/>
  <c r="F41" i="6"/>
  <c r="D105" i="6" s="1"/>
  <c r="D105" i="7"/>
  <c r="C105" i="6" s="1"/>
  <c r="F41" i="7"/>
  <c r="F24" i="7"/>
  <c r="E105" i="6" l="1"/>
  <c r="C105" i="5"/>
  <c r="E105" i="5"/>
  <c r="G23" i="7"/>
  <c r="G24" i="6"/>
  <c r="F25" i="6"/>
  <c r="J61" i="6" l="1"/>
  <c r="G41" i="6"/>
  <c r="D87" i="6" s="1"/>
  <c r="J61" i="7"/>
  <c r="G41" i="7"/>
  <c r="D87" i="7" s="1"/>
  <c r="C87" i="6" s="1"/>
  <c r="C141" i="7"/>
  <c r="B141" i="6" s="1"/>
  <c r="C141" i="6"/>
  <c r="C140" i="7"/>
  <c r="B140" i="6" s="1"/>
  <c r="C140" i="6"/>
  <c r="D140" i="6" s="1"/>
  <c r="C139" i="7"/>
  <c r="B139" i="6" s="1"/>
  <c r="C139" i="6"/>
  <c r="B139" i="5" s="1"/>
  <c r="C138" i="7"/>
  <c r="B138" i="6" s="1"/>
  <c r="C138" i="6"/>
  <c r="C119" i="7"/>
  <c r="C129" i="7" s="1"/>
  <c r="B129" i="6" s="1"/>
  <c r="C119" i="6"/>
  <c r="C129" i="6" s="1"/>
  <c r="B119" i="6"/>
  <c r="G3" i="6"/>
  <c r="G25" i="6" s="1"/>
  <c r="G4" i="6"/>
  <c r="G69" i="6" s="1"/>
  <c r="G8" i="7"/>
  <c r="E61" i="7"/>
  <c r="E73" i="7" s="1"/>
  <c r="G21" i="7"/>
  <c r="H69" i="7" s="1"/>
  <c r="H73" i="7" s="1"/>
  <c r="G22" i="7"/>
  <c r="I63" i="7" s="1"/>
  <c r="I73" i="7" s="1"/>
  <c r="G20" i="7"/>
  <c r="F71" i="7" s="1"/>
  <c r="G19" i="7"/>
  <c r="F70" i="7" s="1"/>
  <c r="G18" i="7"/>
  <c r="F69" i="7" s="1"/>
  <c r="G17" i="7"/>
  <c r="F67" i="7"/>
  <c r="G16" i="7"/>
  <c r="F66" i="7" s="1"/>
  <c r="G15" i="7"/>
  <c r="F65" i="7"/>
  <c r="G14" i="7"/>
  <c r="F64" i="7" s="1"/>
  <c r="G13" i="7"/>
  <c r="F63" i="7" s="1"/>
  <c r="G12" i="7"/>
  <c r="F62" i="7" s="1"/>
  <c r="G11" i="7"/>
  <c r="F61" i="7"/>
  <c r="G9" i="7"/>
  <c r="F60" i="7" s="1"/>
  <c r="G10" i="7"/>
  <c r="F59" i="7" s="1"/>
  <c r="G7" i="7"/>
  <c r="D68" i="7" s="1"/>
  <c r="G6" i="7"/>
  <c r="D64" i="7" s="1"/>
  <c r="G5" i="7"/>
  <c r="D61" i="7" s="1"/>
  <c r="G3" i="7"/>
  <c r="G4" i="7"/>
  <c r="G69" i="7" s="1"/>
  <c r="M73" i="7"/>
  <c r="L73" i="7"/>
  <c r="K73" i="7"/>
  <c r="J73" i="7"/>
  <c r="G11" i="5"/>
  <c r="F59" i="5" s="1"/>
  <c r="G10" i="5"/>
  <c r="F60" i="5" s="1"/>
  <c r="G12" i="5"/>
  <c r="F61" i="5" s="1"/>
  <c r="G13" i="5"/>
  <c r="F62" i="5" s="1"/>
  <c r="G14" i="5"/>
  <c r="F63" i="5" s="1"/>
  <c r="G15" i="5"/>
  <c r="F64" i="5" s="1"/>
  <c r="G16" i="5"/>
  <c r="F65" i="5" s="1"/>
  <c r="G17" i="5"/>
  <c r="F66" i="5"/>
  <c r="G18" i="5"/>
  <c r="F67" i="5" s="1"/>
  <c r="G19" i="5"/>
  <c r="F69" i="5" s="1"/>
  <c r="G20" i="5"/>
  <c r="F70" i="5" s="1"/>
  <c r="G21" i="5"/>
  <c r="F71" i="5"/>
  <c r="G5" i="5"/>
  <c r="B64" i="5" s="1"/>
  <c r="G6" i="5"/>
  <c r="B68" i="5" s="1"/>
  <c r="G7" i="5"/>
  <c r="C61" i="5" s="1"/>
  <c r="C73" i="5" s="1"/>
  <c r="G8" i="5"/>
  <c r="D61" i="5" s="1"/>
  <c r="D73" i="5" s="1"/>
  <c r="G9" i="5"/>
  <c r="E64" i="5" s="1"/>
  <c r="E73" i="5" s="1"/>
  <c r="G3" i="5"/>
  <c r="G67" i="5"/>
  <c r="G4" i="5"/>
  <c r="G69" i="5" s="1"/>
  <c r="G73" i="5" s="1"/>
  <c r="G22" i="5"/>
  <c r="H69" i="5" s="1"/>
  <c r="H73" i="5" s="1"/>
  <c r="G23" i="5"/>
  <c r="I63" i="5" s="1"/>
  <c r="I73" i="5" s="1"/>
  <c r="J73" i="5"/>
  <c r="K73" i="5"/>
  <c r="L73" i="5"/>
  <c r="M73" i="5"/>
  <c r="B141" i="5"/>
  <c r="C141" i="5"/>
  <c r="C140" i="5"/>
  <c r="C139" i="5"/>
  <c r="B138" i="5"/>
  <c r="C138" i="5"/>
  <c r="C119" i="5"/>
  <c r="F40" i="6"/>
  <c r="D104" i="6" s="1"/>
  <c r="F39" i="6"/>
  <c r="D103" i="6" s="1"/>
  <c r="C103" i="5" s="1"/>
  <c r="F38" i="6"/>
  <c r="D102" i="6" s="1"/>
  <c r="F37" i="6"/>
  <c r="D101" i="6" s="1"/>
  <c r="F36" i="6"/>
  <c r="D100" i="6" s="1"/>
  <c r="C100" i="5" s="1"/>
  <c r="F35" i="6"/>
  <c r="G23" i="6"/>
  <c r="G40" i="6" s="1"/>
  <c r="D86" i="6" s="1"/>
  <c r="G22" i="6"/>
  <c r="H69" i="6" s="1"/>
  <c r="H73" i="6" s="1"/>
  <c r="G9" i="6"/>
  <c r="E60" i="6" s="1"/>
  <c r="G10" i="6"/>
  <c r="E63" i="6" s="1"/>
  <c r="G11" i="6"/>
  <c r="E64" i="6" s="1"/>
  <c r="G12" i="6"/>
  <c r="E66" i="6" s="1"/>
  <c r="G13" i="6"/>
  <c r="E69" i="6" s="1"/>
  <c r="G14" i="6"/>
  <c r="E70" i="6" s="1"/>
  <c r="G15" i="6"/>
  <c r="E71" i="6" s="1"/>
  <c r="G16" i="6"/>
  <c r="F59" i="6" s="1"/>
  <c r="G17" i="6"/>
  <c r="F61" i="6" s="1"/>
  <c r="G18" i="6"/>
  <c r="F62" i="6" s="1"/>
  <c r="G19" i="6"/>
  <c r="F65" i="6" s="1"/>
  <c r="G20" i="6"/>
  <c r="F66" i="6" s="1"/>
  <c r="G21" i="6"/>
  <c r="F67" i="6" s="1"/>
  <c r="G8" i="6"/>
  <c r="G37" i="6" s="1"/>
  <c r="D83" i="6" s="1"/>
  <c r="G5" i="6"/>
  <c r="G6" i="6"/>
  <c r="G7" i="6"/>
  <c r="C68" i="6" s="1"/>
  <c r="F40" i="7"/>
  <c r="D104" i="7" s="1"/>
  <c r="C104" i="6" s="1"/>
  <c r="F39" i="7"/>
  <c r="D103" i="7"/>
  <c r="C103" i="6" s="1"/>
  <c r="F38" i="7"/>
  <c r="D102" i="7"/>
  <c r="C102" i="6"/>
  <c r="F37" i="7"/>
  <c r="D101" i="7" s="1"/>
  <c r="C101" i="6" s="1"/>
  <c r="F36" i="7"/>
  <c r="D100" i="7" s="1"/>
  <c r="C100" i="6" s="1"/>
  <c r="F35" i="7"/>
  <c r="D99" i="7" s="1"/>
  <c r="C99" i="6" s="1"/>
  <c r="G37" i="7"/>
  <c r="D83" i="7"/>
  <c r="C83" i="6" s="1"/>
  <c r="J73" i="6"/>
  <c r="K73" i="6"/>
  <c r="L73" i="6"/>
  <c r="M73" i="6"/>
  <c r="G39" i="5"/>
  <c r="D85" i="5" s="1"/>
  <c r="G37" i="5"/>
  <c r="D83" i="5" s="1"/>
  <c r="F40" i="5"/>
  <c r="D104" i="5"/>
  <c r="F39" i="5"/>
  <c r="D103" i="5" s="1"/>
  <c r="F38" i="5"/>
  <c r="D102" i="5"/>
  <c r="F37" i="5"/>
  <c r="D101" i="5" s="1"/>
  <c r="F36" i="5"/>
  <c r="D100" i="5" s="1"/>
  <c r="F35" i="5"/>
  <c r="C61" i="6"/>
  <c r="G40" i="7"/>
  <c r="D86" i="7" s="1"/>
  <c r="C86" i="6" s="1"/>
  <c r="G38" i="7" l="1"/>
  <c r="D84" i="7" s="1"/>
  <c r="C84" i="6" s="1"/>
  <c r="D110" i="6"/>
  <c r="F45" i="6"/>
  <c r="D99" i="5"/>
  <c r="F45" i="5"/>
  <c r="G67" i="7"/>
  <c r="G24" i="7"/>
  <c r="I63" i="6"/>
  <c r="I73" i="6" s="1"/>
  <c r="G25" i="5"/>
  <c r="C87" i="5"/>
  <c r="E87" i="5" s="1"/>
  <c r="E87" i="6"/>
  <c r="F46" i="7"/>
  <c r="D138" i="6"/>
  <c r="D138" i="5"/>
  <c r="D141" i="5"/>
  <c r="B73" i="5"/>
  <c r="G35" i="5"/>
  <c r="G73" i="7"/>
  <c r="G35" i="7"/>
  <c r="G39" i="7"/>
  <c r="D85" i="7" s="1"/>
  <c r="C85" i="6" s="1"/>
  <c r="F73" i="7"/>
  <c r="G39" i="6"/>
  <c r="D85" i="6" s="1"/>
  <c r="C85" i="5" s="1"/>
  <c r="E85" i="5" s="1"/>
  <c r="E102" i="6"/>
  <c r="C102" i="5"/>
  <c r="E102" i="5" s="1"/>
  <c r="G35" i="6"/>
  <c r="G36" i="6"/>
  <c r="D82" i="6" s="1"/>
  <c r="C82" i="5" s="1"/>
  <c r="E100" i="5"/>
  <c r="D64" i="6"/>
  <c r="D73" i="6" s="1"/>
  <c r="G38" i="6"/>
  <c r="D84" i="6" s="1"/>
  <c r="C84" i="5" s="1"/>
  <c r="E103" i="5"/>
  <c r="E103" i="6"/>
  <c r="D110" i="5"/>
  <c r="C83" i="5"/>
  <c r="E83" i="5" s="1"/>
  <c r="E83" i="6"/>
  <c r="C99" i="5"/>
  <c r="E99" i="5" s="1"/>
  <c r="E99" i="6"/>
  <c r="D110" i="7"/>
  <c r="E104" i="6"/>
  <c r="C104" i="5"/>
  <c r="E104" i="5" s="1"/>
  <c r="F73" i="5"/>
  <c r="N73" i="5" s="1"/>
  <c r="D73" i="7"/>
  <c r="C110" i="6"/>
  <c r="E100" i="6"/>
  <c r="C86" i="5"/>
  <c r="E86" i="6"/>
  <c r="C101" i="5"/>
  <c r="E101" i="6"/>
  <c r="B129" i="5"/>
  <c r="D129" i="5" s="1"/>
  <c r="D129" i="6"/>
  <c r="D141" i="6"/>
  <c r="G36" i="7"/>
  <c r="B119" i="5"/>
  <c r="D119" i="5" s="1"/>
  <c r="G67" i="6"/>
  <c r="G73" i="6" s="1"/>
  <c r="C64" i="6"/>
  <c r="C73" i="6" s="1"/>
  <c r="B140" i="5"/>
  <c r="D140" i="5" s="1"/>
  <c r="D119" i="6"/>
  <c r="D139" i="6"/>
  <c r="G36" i="5"/>
  <c r="D82" i="5" s="1"/>
  <c r="G38" i="5"/>
  <c r="D84" i="5" s="1"/>
  <c r="G40" i="5"/>
  <c r="D86" i="5" s="1"/>
  <c r="D81" i="7" l="1"/>
  <c r="C81" i="6" s="1"/>
  <c r="G46" i="7"/>
  <c r="D81" i="5"/>
  <c r="G45" i="5"/>
  <c r="E86" i="5"/>
  <c r="D81" i="6"/>
  <c r="E81" i="6" s="1"/>
  <c r="G45" i="6"/>
  <c r="N73" i="7"/>
  <c r="F73" i="6"/>
  <c r="E73" i="6"/>
  <c r="E85" i="6"/>
  <c r="E84" i="6"/>
  <c r="E82" i="5"/>
  <c r="E84" i="5"/>
  <c r="D82" i="7"/>
  <c r="D92" i="5"/>
  <c r="C110" i="5"/>
  <c r="C81" i="5" l="1"/>
  <c r="D92" i="6"/>
  <c r="N73" i="6"/>
  <c r="C92" i="5"/>
  <c r="E81" i="5"/>
  <c r="D92" i="7"/>
  <c r="C82" i="6"/>
  <c r="C92" i="6" l="1"/>
  <c r="E82" i="6"/>
</calcChain>
</file>

<file path=xl/sharedStrings.xml><?xml version="1.0" encoding="utf-8"?>
<sst xmlns="http://schemas.openxmlformats.org/spreadsheetml/2006/main" count="725" uniqueCount="123">
  <si>
    <t>Tecnología</t>
  </si>
  <si>
    <t>Localización</t>
  </si>
  <si>
    <t>Pot Exis MW</t>
  </si>
  <si>
    <t>Pot Nueva MW</t>
  </si>
  <si>
    <t>Gen GWh</t>
  </si>
  <si>
    <t>bio</t>
  </si>
  <si>
    <t>car</t>
  </si>
  <si>
    <t>DAl</t>
  </si>
  <si>
    <t>Hua</t>
  </si>
  <si>
    <t>PAz</t>
  </si>
  <si>
    <t>LVi</t>
  </si>
  <si>
    <t>Qui</t>
  </si>
  <si>
    <t>Vap</t>
  </si>
  <si>
    <t>RMe</t>
  </si>
  <si>
    <t>Ita</t>
  </si>
  <si>
    <t>Cor</t>
  </si>
  <si>
    <t>Cha</t>
  </si>
  <si>
    <t>Val</t>
  </si>
  <si>
    <t>PMo</t>
  </si>
  <si>
    <t>gas</t>
  </si>
  <si>
    <t>die</t>
  </si>
  <si>
    <t>hid</t>
  </si>
  <si>
    <t>eol</t>
  </si>
  <si>
    <t xml:space="preserve">    Potencia neta</t>
  </si>
  <si>
    <t>Incremento *</t>
  </si>
  <si>
    <t>Tipo</t>
  </si>
  <si>
    <t>Ubicación</t>
  </si>
  <si>
    <t>%</t>
  </si>
  <si>
    <t>Biomasa</t>
  </si>
  <si>
    <t>Itahue</t>
  </si>
  <si>
    <t>Charrua</t>
  </si>
  <si>
    <t>Carbón</t>
  </si>
  <si>
    <t>Diego de Almagro</t>
  </si>
  <si>
    <t>Huasco</t>
  </si>
  <si>
    <t>Quillota</t>
  </si>
  <si>
    <t>RM</t>
  </si>
  <si>
    <t>Coronel</t>
  </si>
  <si>
    <t>CC-GNL</t>
  </si>
  <si>
    <t>Petróleo Diesel</t>
  </si>
  <si>
    <t>Cardones</t>
  </si>
  <si>
    <t>Los Vilos</t>
  </si>
  <si>
    <t>Pan de Azucar</t>
  </si>
  <si>
    <t>Valparaíso</t>
  </si>
  <si>
    <t>Valdivia</t>
  </si>
  <si>
    <t>Puerto Montt</t>
  </si>
  <si>
    <t>Hidro</t>
  </si>
  <si>
    <t>Eolica</t>
  </si>
  <si>
    <t>Solar</t>
  </si>
  <si>
    <t>Geotermia</t>
  </si>
  <si>
    <t>minihidro</t>
  </si>
  <si>
    <t>Central de falla</t>
  </si>
  <si>
    <t>Resumen</t>
  </si>
  <si>
    <t>Total</t>
  </si>
  <si>
    <t xml:space="preserve">    Generación</t>
  </si>
  <si>
    <t xml:space="preserve"> </t>
  </si>
  <si>
    <t xml:space="preserve">             toneladas por año</t>
  </si>
  <si>
    <t>MP</t>
  </si>
  <si>
    <t>SOx</t>
  </si>
  <si>
    <t>NOx</t>
  </si>
  <si>
    <r>
      <t>CO</t>
    </r>
    <r>
      <rPr>
        <vertAlign val="subscript"/>
        <sz val="10"/>
        <rFont val="Arial"/>
        <family val="2"/>
      </rPr>
      <t>2</t>
    </r>
  </si>
  <si>
    <t>Costo</t>
  </si>
  <si>
    <r>
      <t>CC-GNL</t>
    </r>
    <r>
      <rPr>
        <vertAlign val="subscript"/>
        <sz val="10"/>
        <rFont val="Arial"/>
        <family val="2"/>
      </rPr>
      <t>i</t>
    </r>
  </si>
  <si>
    <r>
      <t xml:space="preserve">Diesel </t>
    </r>
    <r>
      <rPr>
        <vertAlign val="subscript"/>
        <sz val="10"/>
        <rFont val="Arial"/>
        <family val="2"/>
      </rPr>
      <t>i</t>
    </r>
  </si>
  <si>
    <t>Falla</t>
  </si>
  <si>
    <t>sin política</t>
  </si>
  <si>
    <t>con norma</t>
  </si>
  <si>
    <t>costos: inv+op+fall</t>
  </si>
  <si>
    <t>costos: inv+op+fall+costo social</t>
  </si>
  <si>
    <t>filtro</t>
  </si>
  <si>
    <t>fil64</t>
  </si>
  <si>
    <t>fil40</t>
  </si>
  <si>
    <t>fil53</t>
  </si>
  <si>
    <t>mp Miles Ton</t>
  </si>
  <si>
    <t>sox Miles Ton</t>
  </si>
  <si>
    <t>nox Miles Ton</t>
  </si>
  <si>
    <t>co2 Miles Ton</t>
  </si>
  <si>
    <t>MP-2</t>
  </si>
  <si>
    <t>sin filtros</t>
  </si>
  <si>
    <t>Carbón 1</t>
  </si>
  <si>
    <t>Carbón 2</t>
  </si>
  <si>
    <t>Carbón 3</t>
  </si>
  <si>
    <t>Pot total MW</t>
  </si>
  <si>
    <t>política eficiente</t>
  </si>
  <si>
    <t>costo inv+op+fal</t>
  </si>
  <si>
    <t>Nota: * se refiere al incremento porcentual del caso con política eficiente respecto del caso con norma.</t>
  </si>
  <si>
    <t>fil60</t>
  </si>
  <si>
    <t>costos: inv+op+fall+polución</t>
  </si>
  <si>
    <t>sox US$</t>
  </si>
  <si>
    <t>nox US$</t>
  </si>
  <si>
    <t>co2 US$</t>
  </si>
  <si>
    <t>Diesel 1</t>
  </si>
  <si>
    <t>Diesel 2</t>
  </si>
  <si>
    <t>MP-3,SOx-3</t>
  </si>
  <si>
    <t>mp US$</t>
  </si>
  <si>
    <t>-----</t>
  </si>
  <si>
    <t>ponderación problema</t>
  </si>
  <si>
    <t>Problema 3 - I2</t>
  </si>
  <si>
    <t>Código</t>
  </si>
  <si>
    <t>Tabla 2.2 Capacidad instalada (MW neto), comparación respecto caso con norma</t>
  </si>
  <si>
    <t>Tabla 1.1 Capacidad instalada (MW neto), con Norma</t>
  </si>
  <si>
    <t>Tabla 1.2 Capacidad instalada (MW neto), comparación respecto caso sin política ambiental</t>
  </si>
  <si>
    <t>Tabla 1.3 Resumen generación (GWh por año)</t>
  </si>
  <si>
    <t>Tabla 1.4 Costo total del sistema     MMUS$/ año</t>
  </si>
  <si>
    <t>Tabla 1.5 Beneficio norma    MMUS$/ año</t>
  </si>
  <si>
    <t>Tabla 1.6 Contabilidad ambiental emisiones</t>
  </si>
  <si>
    <t>Tabla 2.1 Capacidad instalada (MW neto), con política eficiente</t>
  </si>
  <si>
    <t>Tabla 2.3 Resumen generación (GWh por año)</t>
  </si>
  <si>
    <t>Tabla 2.4 Costo total del sistema     MMUS$/ año</t>
  </si>
  <si>
    <t>Tabla 2.5 Beneficio norma    MMUS$/ año</t>
  </si>
  <si>
    <t xml:space="preserve">Tabla 2.6 Contabilidad ambiental emisiones </t>
  </si>
  <si>
    <t>Problema 1- T2</t>
  </si>
  <si>
    <t>total tablas: 90%</t>
  </si>
  <si>
    <t>comente : 10%</t>
  </si>
  <si>
    <t>fil22</t>
  </si>
  <si>
    <t>eo1</t>
  </si>
  <si>
    <t>so1</t>
  </si>
  <si>
    <t xml:space="preserve">Tabla 1.1 Capacidad instalada (MW neto), </t>
  </si>
  <si>
    <t>MP-2,SOx-2</t>
  </si>
  <si>
    <t>fil49</t>
  </si>
  <si>
    <t>NOx-3, MP-2,SOx-2</t>
  </si>
  <si>
    <t>MP-1</t>
  </si>
  <si>
    <t>Costo total US$ (incluye daño ambiental)</t>
  </si>
  <si>
    <t>Costo total US$ (no incluye daño ambiental)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</si>
</sst>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9" fontId="0" fillId="0" borderId="0" xfId="1" applyFont="1" applyAlignment="1">
      <alignment horizontal="right"/>
    </xf>
    <xf numFmtId="9" fontId="0" fillId="0" borderId="0" xfId="1" quotePrefix="1" applyFont="1" applyAlignment="1">
      <alignment horizontal="right"/>
    </xf>
    <xf numFmtId="4" fontId="0" fillId="0" borderId="0" xfId="0" applyNumberFormat="1"/>
    <xf numFmtId="165" fontId="0" fillId="0" borderId="0" xfId="0" applyNumberFormat="1"/>
    <xf numFmtId="9" fontId="5" fillId="0" borderId="0" xfId="1" applyFont="1"/>
    <xf numFmtId="3" fontId="5" fillId="0" borderId="0" xfId="0" applyNumberFormat="1" applyFont="1"/>
    <xf numFmtId="0" fontId="3" fillId="2" borderId="0" xfId="0" applyFont="1" applyFill="1"/>
    <xf numFmtId="9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0" fontId="6" fillId="0" borderId="1" xfId="0" applyFont="1" applyBorder="1"/>
    <xf numFmtId="3" fontId="3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6</xdr:col>
      <xdr:colOff>180975</xdr:colOff>
      <xdr:row>159</xdr:row>
      <xdr:rowOff>76200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0"/>
          <a:ext cx="5619750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256444</xdr:colOff>
      <xdr:row>147</xdr:row>
      <xdr:rowOff>4397</xdr:rowOff>
    </xdr:from>
    <xdr:to>
      <xdr:col>6</xdr:col>
      <xdr:colOff>255467</xdr:colOff>
      <xdr:row>157</xdr:row>
      <xdr:rowOff>57639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44" y="23772935"/>
          <a:ext cx="5611446" cy="1665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1"/>
  <sheetViews>
    <sheetView tabSelected="1" topLeftCell="A7" zoomScale="130" zoomScaleNormal="130" workbookViewId="0">
      <selection activeCell="K24" sqref="K24"/>
    </sheetView>
  </sheetViews>
  <sheetFormatPr baseColWidth="10" defaultRowHeight="12.75" x14ac:dyDescent="0.2"/>
  <cols>
    <col min="1" max="1" width="16.5703125" customWidth="1"/>
    <col min="2" max="2" width="12.7109375" customWidth="1"/>
    <col min="3" max="3" width="14.5703125" customWidth="1"/>
    <col min="4" max="4" width="13.42578125" customWidth="1"/>
    <col min="5" max="5" width="12.7109375" bestFit="1" customWidth="1"/>
    <col min="6" max="9" width="11.5703125" bestFit="1" customWidth="1"/>
  </cols>
  <sheetData>
    <row r="2" spans="1:8" x14ac:dyDescent="0.2">
      <c r="A2" s="6" t="s">
        <v>0</v>
      </c>
      <c r="B2" s="6" t="s">
        <v>68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81</v>
      </c>
    </row>
    <row r="3" spans="1:8" x14ac:dyDescent="0.2">
      <c r="A3" t="s">
        <v>5</v>
      </c>
      <c r="B3" t="s">
        <v>69</v>
      </c>
      <c r="C3" t="s">
        <v>14</v>
      </c>
      <c r="D3" s="3">
        <v>60</v>
      </c>
      <c r="E3" s="3">
        <v>0</v>
      </c>
      <c r="F3" s="3">
        <v>289.01</v>
      </c>
      <c r="G3" s="3">
        <f>+D3+E3</f>
        <v>60</v>
      </c>
      <c r="H3" s="2"/>
    </row>
    <row r="4" spans="1:8" x14ac:dyDescent="0.2">
      <c r="A4" t="s">
        <v>5</v>
      </c>
      <c r="B4" t="s">
        <v>69</v>
      </c>
      <c r="C4" t="s">
        <v>16</v>
      </c>
      <c r="D4" s="3">
        <v>204</v>
      </c>
      <c r="E4" s="3">
        <v>0</v>
      </c>
      <c r="F4" s="3">
        <v>982.63</v>
      </c>
      <c r="G4" s="3">
        <f t="shared" ref="G4:G24" si="0">+D4+E4</f>
        <v>204</v>
      </c>
      <c r="H4" s="2"/>
    </row>
    <row r="5" spans="1:8" x14ac:dyDescent="0.2">
      <c r="A5" t="s">
        <v>6</v>
      </c>
      <c r="B5" t="s">
        <v>85</v>
      </c>
      <c r="C5" t="s">
        <v>8</v>
      </c>
      <c r="D5" s="3">
        <v>575</v>
      </c>
      <c r="E5" s="3">
        <v>0</v>
      </c>
      <c r="F5" s="3">
        <v>4432.5600000000004</v>
      </c>
      <c r="G5" s="3">
        <f t="shared" si="0"/>
        <v>575</v>
      </c>
      <c r="H5" s="2"/>
    </row>
    <row r="6" spans="1:8" x14ac:dyDescent="0.2">
      <c r="A6" t="s">
        <v>6</v>
      </c>
      <c r="B6" t="s">
        <v>85</v>
      </c>
      <c r="C6" t="s">
        <v>11</v>
      </c>
      <c r="D6" s="3">
        <v>812</v>
      </c>
      <c r="E6" s="3">
        <v>852.48</v>
      </c>
      <c r="F6" s="3">
        <v>10395.9</v>
      </c>
      <c r="G6" s="3">
        <f t="shared" si="0"/>
        <v>1664.48</v>
      </c>
      <c r="H6" s="2"/>
    </row>
    <row r="7" spans="1:8" x14ac:dyDescent="0.2">
      <c r="A7" t="s">
        <v>6</v>
      </c>
      <c r="B7" t="s">
        <v>85</v>
      </c>
      <c r="C7" t="s">
        <v>15</v>
      </c>
      <c r="D7" s="3">
        <v>806</v>
      </c>
      <c r="E7" s="3">
        <v>0</v>
      </c>
      <c r="F7" s="3">
        <v>6142.69</v>
      </c>
      <c r="G7" s="3">
        <f t="shared" si="0"/>
        <v>806</v>
      </c>
      <c r="H7" s="2"/>
    </row>
    <row r="8" spans="1:8" x14ac:dyDescent="0.2">
      <c r="A8" t="s">
        <v>19</v>
      </c>
      <c r="B8" t="s">
        <v>113</v>
      </c>
      <c r="C8" t="s">
        <v>11</v>
      </c>
      <c r="D8" s="3">
        <v>731</v>
      </c>
      <c r="E8" s="3">
        <v>0</v>
      </c>
      <c r="F8" s="3">
        <v>3397.68</v>
      </c>
      <c r="G8" s="3">
        <f t="shared" si="0"/>
        <v>731</v>
      </c>
      <c r="H8" s="2"/>
    </row>
    <row r="9" spans="1:8" x14ac:dyDescent="0.2">
      <c r="A9" t="s">
        <v>20</v>
      </c>
      <c r="B9" t="s">
        <v>71</v>
      </c>
      <c r="C9" t="s">
        <v>6</v>
      </c>
      <c r="D9" s="3">
        <v>169</v>
      </c>
      <c r="E9" s="3">
        <v>0</v>
      </c>
      <c r="F9" s="3">
        <v>182.52</v>
      </c>
      <c r="G9" s="3">
        <f t="shared" si="0"/>
        <v>169</v>
      </c>
      <c r="H9" s="2"/>
    </row>
    <row r="10" spans="1:8" x14ac:dyDescent="0.2">
      <c r="A10" t="s">
        <v>20</v>
      </c>
      <c r="B10" t="s">
        <v>71</v>
      </c>
      <c r="C10" t="s">
        <v>10</v>
      </c>
      <c r="D10" s="3">
        <v>203</v>
      </c>
      <c r="E10" s="3">
        <v>0</v>
      </c>
      <c r="F10" s="3">
        <v>107.18</v>
      </c>
      <c r="G10" s="3">
        <f t="shared" si="0"/>
        <v>203</v>
      </c>
      <c r="H10" s="2"/>
    </row>
    <row r="11" spans="1:8" x14ac:dyDescent="0.2">
      <c r="A11" t="s">
        <v>20</v>
      </c>
      <c r="B11" t="s">
        <v>71</v>
      </c>
      <c r="C11" t="s">
        <v>11</v>
      </c>
      <c r="D11" s="3">
        <v>700</v>
      </c>
      <c r="E11" s="3">
        <v>0</v>
      </c>
      <c r="F11" s="3">
        <v>772.8</v>
      </c>
      <c r="G11" s="3">
        <f t="shared" si="0"/>
        <v>700</v>
      </c>
      <c r="H11" s="2"/>
    </row>
    <row r="12" spans="1:8" x14ac:dyDescent="0.2">
      <c r="A12" t="s">
        <v>20</v>
      </c>
      <c r="B12" t="s">
        <v>71</v>
      </c>
      <c r="C12" t="s">
        <v>13</v>
      </c>
      <c r="D12" s="3">
        <v>233.44</v>
      </c>
      <c r="E12" s="3">
        <v>0</v>
      </c>
      <c r="F12" s="3">
        <v>254.92</v>
      </c>
      <c r="G12" s="3">
        <f t="shared" si="0"/>
        <v>233.44</v>
      </c>
      <c r="H12" s="2"/>
    </row>
    <row r="13" spans="1:8" x14ac:dyDescent="0.2">
      <c r="A13" t="s">
        <v>20</v>
      </c>
      <c r="B13" t="s">
        <v>71</v>
      </c>
      <c r="C13" t="s">
        <v>16</v>
      </c>
      <c r="D13" s="3">
        <v>1043</v>
      </c>
      <c r="E13" s="3">
        <v>0</v>
      </c>
      <c r="F13" s="3">
        <v>1151.47</v>
      </c>
      <c r="G13" s="3">
        <f t="shared" si="0"/>
        <v>1043</v>
      </c>
      <c r="H13" s="2"/>
    </row>
    <row r="14" spans="1:8" x14ac:dyDescent="0.2">
      <c r="A14" t="s">
        <v>20</v>
      </c>
      <c r="B14" t="s">
        <v>71</v>
      </c>
      <c r="C14" t="s">
        <v>17</v>
      </c>
      <c r="D14" s="3">
        <v>135</v>
      </c>
      <c r="E14" s="3">
        <v>0</v>
      </c>
      <c r="F14" s="3">
        <v>145.80000000000001</v>
      </c>
      <c r="G14" s="3">
        <f t="shared" si="0"/>
        <v>135</v>
      </c>
      <c r="H14" s="2"/>
    </row>
    <row r="15" spans="1:8" x14ac:dyDescent="0.2">
      <c r="A15" t="s">
        <v>20</v>
      </c>
      <c r="B15" t="s">
        <v>71</v>
      </c>
      <c r="C15" t="s">
        <v>18</v>
      </c>
      <c r="D15" s="3">
        <v>139</v>
      </c>
      <c r="E15" s="3">
        <v>0</v>
      </c>
      <c r="F15" s="3">
        <v>150.12</v>
      </c>
      <c r="G15" s="3">
        <f t="shared" si="0"/>
        <v>139</v>
      </c>
      <c r="H15" s="2"/>
    </row>
    <row r="16" spans="1:8" x14ac:dyDescent="0.2">
      <c r="A16" t="s">
        <v>20</v>
      </c>
      <c r="B16" t="s">
        <v>69</v>
      </c>
      <c r="C16" t="s">
        <v>7</v>
      </c>
      <c r="D16" s="3">
        <v>439</v>
      </c>
      <c r="E16" s="3">
        <v>0</v>
      </c>
      <c r="F16" s="3">
        <v>0</v>
      </c>
      <c r="G16" s="3">
        <f t="shared" si="0"/>
        <v>439</v>
      </c>
      <c r="H16" s="2"/>
    </row>
    <row r="17" spans="1:11" x14ac:dyDescent="0.2">
      <c r="A17" t="s">
        <v>20</v>
      </c>
      <c r="B17" t="s">
        <v>69</v>
      </c>
      <c r="C17" t="s">
        <v>8</v>
      </c>
      <c r="D17" s="3">
        <v>58</v>
      </c>
      <c r="E17" s="3">
        <v>0</v>
      </c>
      <c r="F17" s="3">
        <v>0</v>
      </c>
      <c r="G17" s="3">
        <f t="shared" si="0"/>
        <v>58</v>
      </c>
      <c r="H17" s="2"/>
    </row>
    <row r="18" spans="1:11" x14ac:dyDescent="0.2">
      <c r="A18" t="s">
        <v>20</v>
      </c>
      <c r="B18" t="s">
        <v>69</v>
      </c>
      <c r="C18" t="s">
        <v>9</v>
      </c>
      <c r="D18" s="3">
        <v>97</v>
      </c>
      <c r="E18" s="3">
        <v>0</v>
      </c>
      <c r="F18" s="3">
        <v>0</v>
      </c>
      <c r="G18" s="3">
        <f t="shared" si="0"/>
        <v>97</v>
      </c>
      <c r="H18" s="2"/>
    </row>
    <row r="19" spans="1:11" x14ac:dyDescent="0.2">
      <c r="A19" t="s">
        <v>20</v>
      </c>
      <c r="B19" t="s">
        <v>69</v>
      </c>
      <c r="C19" t="s">
        <v>12</v>
      </c>
      <c r="D19" s="3">
        <v>71</v>
      </c>
      <c r="E19" s="3">
        <v>0</v>
      </c>
      <c r="F19" s="3">
        <v>0</v>
      </c>
      <c r="G19" s="3">
        <f t="shared" si="0"/>
        <v>71</v>
      </c>
      <c r="H19" s="2"/>
    </row>
    <row r="20" spans="1:11" x14ac:dyDescent="0.2">
      <c r="A20" t="s">
        <v>20</v>
      </c>
      <c r="B20" t="s">
        <v>69</v>
      </c>
      <c r="C20" t="s">
        <v>13</v>
      </c>
      <c r="D20" s="3">
        <v>134.56</v>
      </c>
      <c r="E20" s="3">
        <v>0</v>
      </c>
      <c r="F20" s="3">
        <v>0</v>
      </c>
      <c r="G20" s="3">
        <f t="shared" si="0"/>
        <v>134.56</v>
      </c>
      <c r="H20" s="2"/>
    </row>
    <row r="21" spans="1:11" x14ac:dyDescent="0.2">
      <c r="A21" t="s">
        <v>20</v>
      </c>
      <c r="B21" t="s">
        <v>69</v>
      </c>
      <c r="C21" t="s">
        <v>14</v>
      </c>
      <c r="D21" s="3">
        <v>134</v>
      </c>
      <c r="E21" s="3">
        <v>0</v>
      </c>
      <c r="F21" s="3">
        <v>0</v>
      </c>
      <c r="G21" s="3">
        <f t="shared" si="0"/>
        <v>134</v>
      </c>
      <c r="H21" s="2"/>
    </row>
    <row r="22" spans="1:11" x14ac:dyDescent="0.2">
      <c r="A22" t="s">
        <v>21</v>
      </c>
      <c r="B22" t="s">
        <v>69</v>
      </c>
      <c r="C22" t="s">
        <v>16</v>
      </c>
      <c r="D22" s="3">
        <v>5571</v>
      </c>
      <c r="E22" s="3">
        <v>1500</v>
      </c>
      <c r="F22" s="3">
        <v>37165.18</v>
      </c>
      <c r="G22" s="3">
        <f t="shared" si="0"/>
        <v>7071</v>
      </c>
      <c r="H22" s="2"/>
    </row>
    <row r="23" spans="1:11" x14ac:dyDescent="0.2">
      <c r="A23" t="s">
        <v>114</v>
      </c>
      <c r="B23" t="s">
        <v>69</v>
      </c>
      <c r="C23" t="s">
        <v>10</v>
      </c>
      <c r="D23" s="3">
        <v>192</v>
      </c>
      <c r="E23" s="3">
        <v>0</v>
      </c>
      <c r="F23" s="3">
        <v>420.48</v>
      </c>
      <c r="G23" s="3">
        <f t="shared" si="0"/>
        <v>192</v>
      </c>
      <c r="H23" s="2"/>
      <c r="J23" s="2">
        <v>27174.34</v>
      </c>
      <c r="K23">
        <f>D28/J23</f>
        <v>0.75425677311758077</v>
      </c>
    </row>
    <row r="24" spans="1:11" x14ac:dyDescent="0.2">
      <c r="A24" t="s">
        <v>115</v>
      </c>
      <c r="B24" t="s">
        <v>69</v>
      </c>
      <c r="C24" t="s">
        <v>8</v>
      </c>
      <c r="D24" s="3">
        <v>200</v>
      </c>
      <c r="E24" s="3">
        <v>0</v>
      </c>
      <c r="F24" s="3">
        <v>438</v>
      </c>
      <c r="G24" s="3">
        <f t="shared" si="0"/>
        <v>200</v>
      </c>
      <c r="H24" s="2"/>
    </row>
    <row r="25" spans="1:11" x14ac:dyDescent="0.2">
      <c r="D25" s="2"/>
      <c r="E25" s="2"/>
      <c r="F25" s="27">
        <f>+SUM(F3:F24)</f>
        <v>66428.939999999988</v>
      </c>
      <c r="G25" s="27">
        <f>+SUM(G3:G24)</f>
        <v>15059.48</v>
      </c>
      <c r="H25" s="2"/>
      <c r="J25" s="2"/>
      <c r="K25" s="2"/>
    </row>
    <row r="26" spans="1:11" x14ac:dyDescent="0.2">
      <c r="D26" s="2"/>
      <c r="E26" s="2"/>
      <c r="F26" s="2"/>
      <c r="G26" s="2"/>
      <c r="H26" s="2"/>
    </row>
    <row r="27" spans="1:11" x14ac:dyDescent="0.2">
      <c r="A27" s="6" t="s">
        <v>72</v>
      </c>
      <c r="B27" s="6" t="s">
        <v>73</v>
      </c>
      <c r="C27" s="6" t="s">
        <v>74</v>
      </c>
      <c r="D27" s="6" t="s">
        <v>75</v>
      </c>
      <c r="G27" s="2"/>
      <c r="H27" s="2"/>
    </row>
    <row r="28" spans="1:11" x14ac:dyDescent="0.2">
      <c r="A28" s="2">
        <v>2.4900000000000002</v>
      </c>
      <c r="B28" s="2">
        <v>22.29</v>
      </c>
      <c r="C28" s="2">
        <v>94.24</v>
      </c>
      <c r="D28" s="2">
        <v>20496.43</v>
      </c>
      <c r="E28" s="2"/>
      <c r="G28" s="2"/>
      <c r="H28" s="2"/>
    </row>
    <row r="29" spans="1:11" x14ac:dyDescent="0.2">
      <c r="A29" s="11" t="s">
        <v>93</v>
      </c>
      <c r="B29" s="11" t="s">
        <v>87</v>
      </c>
      <c r="C29" s="11" t="s">
        <v>88</v>
      </c>
      <c r="D29" s="11" t="s">
        <v>89</v>
      </c>
      <c r="E29" s="31" t="s">
        <v>122</v>
      </c>
      <c r="G29" s="2"/>
      <c r="H29" s="2"/>
    </row>
    <row r="30" spans="1:11" x14ac:dyDescent="0.2">
      <c r="A30" s="2">
        <v>6023168.29</v>
      </c>
      <c r="B30" s="2">
        <v>21052236.91</v>
      </c>
      <c r="C30" s="2">
        <v>145963908.59</v>
      </c>
      <c r="D30" s="2">
        <v>0</v>
      </c>
      <c r="E30" s="2">
        <v>2293628900</v>
      </c>
      <c r="G30" s="2"/>
      <c r="H30" s="2"/>
    </row>
    <row r="31" spans="1:11" x14ac:dyDescent="0.2">
      <c r="D31" s="2"/>
      <c r="E31" s="2"/>
      <c r="F31" s="2"/>
      <c r="G31" s="2"/>
      <c r="H31" s="2"/>
    </row>
    <row r="32" spans="1:11" x14ac:dyDescent="0.2">
      <c r="D32" s="2"/>
      <c r="E32" s="2"/>
      <c r="F32" s="2"/>
      <c r="G32" s="2"/>
      <c r="H32" s="2"/>
    </row>
    <row r="33" spans="1:10" x14ac:dyDescent="0.2">
      <c r="D33" s="2"/>
      <c r="E33" s="2"/>
      <c r="F33" s="2"/>
      <c r="G33" s="2"/>
      <c r="H33" s="2"/>
      <c r="I33" s="2"/>
    </row>
    <row r="34" spans="1:10" x14ac:dyDescent="0.2">
      <c r="A34" s="6"/>
      <c r="B34" s="6"/>
      <c r="C34" s="6"/>
      <c r="D34" s="11"/>
      <c r="E34" s="11"/>
      <c r="F34" s="6" t="s">
        <v>4</v>
      </c>
      <c r="G34" s="6" t="s">
        <v>81</v>
      </c>
      <c r="H34" s="2"/>
      <c r="I34" s="2"/>
    </row>
    <row r="35" spans="1:10" x14ac:dyDescent="0.2">
      <c r="A35" t="s">
        <v>28</v>
      </c>
      <c r="D35" s="2"/>
      <c r="E35" s="2"/>
      <c r="F35" s="2">
        <f>+F3+F4</f>
        <v>1271.6399999999999</v>
      </c>
      <c r="G35" s="2">
        <f>+G3+G4</f>
        <v>264</v>
      </c>
      <c r="H35" s="2"/>
      <c r="I35" s="2"/>
      <c r="J35" s="2"/>
    </row>
    <row r="36" spans="1:10" x14ac:dyDescent="0.2">
      <c r="A36" t="s">
        <v>31</v>
      </c>
      <c r="D36" s="2"/>
      <c r="E36" s="2"/>
      <c r="F36" s="2">
        <f>+SUM(F5:F7)</f>
        <v>20971.149999999998</v>
      </c>
      <c r="G36" s="2">
        <f>+SUM(G5:G7)</f>
        <v>3045.48</v>
      </c>
      <c r="H36" s="2"/>
      <c r="I36" s="2"/>
      <c r="J36" s="2"/>
    </row>
    <row r="37" spans="1:10" x14ac:dyDescent="0.2">
      <c r="A37" t="s">
        <v>37</v>
      </c>
      <c r="D37" s="2"/>
      <c r="E37" s="2"/>
      <c r="F37" s="2">
        <f>+F8</f>
        <v>3397.68</v>
      </c>
      <c r="G37" s="2">
        <f>+G8</f>
        <v>731</v>
      </c>
      <c r="H37" s="2"/>
      <c r="I37" s="2"/>
      <c r="J37" s="2"/>
    </row>
    <row r="38" spans="1:10" x14ac:dyDescent="0.2">
      <c r="A38" t="s">
        <v>38</v>
      </c>
      <c r="D38" s="2"/>
      <c r="E38" s="2"/>
      <c r="F38" s="2">
        <f>+SUM(F9:F21)</f>
        <v>2764.8100000000004</v>
      </c>
      <c r="G38" s="2">
        <f>+SUM(G9:G21)</f>
        <v>3556</v>
      </c>
      <c r="H38" s="2"/>
      <c r="I38" s="2"/>
      <c r="J38" s="2"/>
    </row>
    <row r="39" spans="1:10" x14ac:dyDescent="0.2">
      <c r="A39" t="s">
        <v>45</v>
      </c>
      <c r="D39" s="2"/>
      <c r="E39" s="2"/>
      <c r="F39" s="2">
        <f t="shared" ref="F39:G41" si="1">+F22</f>
        <v>37165.18</v>
      </c>
      <c r="G39" s="2">
        <f t="shared" si="1"/>
        <v>7071</v>
      </c>
      <c r="H39" s="2"/>
      <c r="I39" s="2"/>
      <c r="J39" s="2"/>
    </row>
    <row r="40" spans="1:10" x14ac:dyDescent="0.2">
      <c r="A40" t="s">
        <v>46</v>
      </c>
      <c r="D40" s="2"/>
      <c r="E40" s="2"/>
      <c r="F40" s="2">
        <f t="shared" si="1"/>
        <v>420.48</v>
      </c>
      <c r="G40" s="2">
        <f t="shared" si="1"/>
        <v>192</v>
      </c>
      <c r="H40" s="2"/>
      <c r="I40" s="2"/>
      <c r="J40" s="2"/>
    </row>
    <row r="41" spans="1:10" x14ac:dyDescent="0.2">
      <c r="A41" t="s">
        <v>47</v>
      </c>
      <c r="D41" s="2"/>
      <c r="E41" s="2"/>
      <c r="F41" s="2">
        <f t="shared" si="1"/>
        <v>438</v>
      </c>
      <c r="G41" s="2">
        <f t="shared" si="1"/>
        <v>200</v>
      </c>
      <c r="H41" s="2"/>
      <c r="I41" s="2"/>
      <c r="J41" s="2"/>
    </row>
    <row r="42" spans="1:10" x14ac:dyDescent="0.2">
      <c r="A42" t="s">
        <v>48</v>
      </c>
      <c r="D42" s="2"/>
      <c r="E42" s="2"/>
      <c r="H42" s="2"/>
      <c r="I42" s="2"/>
    </row>
    <row r="43" spans="1:10" x14ac:dyDescent="0.2">
      <c r="A43" t="s">
        <v>49</v>
      </c>
      <c r="D43" s="2"/>
      <c r="E43" s="2"/>
      <c r="F43" s="2"/>
      <c r="G43" s="2"/>
      <c r="H43" s="2"/>
      <c r="I43" s="2"/>
    </row>
    <row r="44" spans="1:10" x14ac:dyDescent="0.2">
      <c r="A44" t="s">
        <v>50</v>
      </c>
      <c r="D44" s="2"/>
      <c r="E44" s="2"/>
      <c r="F44" s="2"/>
      <c r="G44" s="2"/>
      <c r="H44" s="2"/>
      <c r="I44" s="2"/>
    </row>
    <row r="45" spans="1:10" x14ac:dyDescent="0.2">
      <c r="A45" t="s">
        <v>52</v>
      </c>
      <c r="D45" s="2"/>
      <c r="E45" s="2"/>
      <c r="F45" s="2">
        <f>+SUM(F35:F44)</f>
        <v>66428.939999999988</v>
      </c>
      <c r="G45" s="2">
        <f>+SUM(G35:G44)</f>
        <v>15059.48</v>
      </c>
      <c r="H45" s="2"/>
      <c r="I45" s="2"/>
    </row>
    <row r="46" spans="1:10" x14ac:dyDescent="0.2">
      <c r="D46" s="2"/>
      <c r="E46" s="2"/>
      <c r="F46" s="2"/>
      <c r="G46" s="2"/>
      <c r="H46" s="2"/>
      <c r="I46" s="2"/>
    </row>
    <row r="47" spans="1:10" x14ac:dyDescent="0.2">
      <c r="D47" s="2"/>
      <c r="E47" s="2"/>
      <c r="F47" s="2"/>
      <c r="G47" s="2"/>
      <c r="H47" s="2"/>
      <c r="I47" s="2"/>
    </row>
    <row r="48" spans="1:10" x14ac:dyDescent="0.2">
      <c r="D48" s="2"/>
      <c r="E48" s="2"/>
      <c r="F48" s="2"/>
      <c r="G48" s="2"/>
      <c r="H48" s="2"/>
      <c r="I48" s="2"/>
    </row>
    <row r="49" spans="1:13" x14ac:dyDescent="0.2">
      <c r="D49" s="2"/>
      <c r="E49" s="2"/>
      <c r="F49" s="2"/>
      <c r="G49" s="2"/>
      <c r="H49" s="2"/>
      <c r="I49" s="2"/>
    </row>
    <row r="50" spans="1:13" x14ac:dyDescent="0.2">
      <c r="A50" s="22" t="s">
        <v>110</v>
      </c>
      <c r="B50" s="24" t="s">
        <v>95</v>
      </c>
      <c r="C50" s="24"/>
      <c r="D50" s="23">
        <v>0.5</v>
      </c>
      <c r="E50" s="2"/>
      <c r="F50" s="2"/>
      <c r="G50" s="25" t="s">
        <v>111</v>
      </c>
      <c r="H50" s="2"/>
      <c r="I50" s="2"/>
    </row>
    <row r="51" spans="1:13" x14ac:dyDescent="0.2">
      <c r="D51" s="2"/>
      <c r="E51" s="2"/>
      <c r="F51" s="2"/>
      <c r="G51" s="25" t="s">
        <v>112</v>
      </c>
      <c r="H51" s="2"/>
      <c r="I51" s="2"/>
    </row>
    <row r="52" spans="1:13" x14ac:dyDescent="0.2">
      <c r="A52" s="4" t="s">
        <v>99</v>
      </c>
      <c r="D52" s="2"/>
      <c r="E52" s="2"/>
    </row>
    <row r="53" spans="1:13" x14ac:dyDescent="0.2">
      <c r="B53" s="10"/>
      <c r="C53" s="10"/>
      <c r="D53" s="14"/>
      <c r="E53" s="14"/>
      <c r="F53" s="14"/>
      <c r="G53" s="14"/>
      <c r="H53" s="21"/>
      <c r="J53" s="20"/>
    </row>
    <row r="54" spans="1:13" x14ac:dyDescent="0.2">
      <c r="D54" s="2"/>
      <c r="E54" s="2"/>
      <c r="F54" s="2"/>
      <c r="G54" s="2"/>
      <c r="H54" s="2"/>
      <c r="I54" s="2"/>
    </row>
    <row r="55" spans="1:13" x14ac:dyDescent="0.2">
      <c r="C55">
        <v>60</v>
      </c>
      <c r="D55" s="2">
        <v>22</v>
      </c>
      <c r="E55" s="2">
        <v>53</v>
      </c>
      <c r="F55" s="2" t="s">
        <v>54</v>
      </c>
      <c r="G55" s="2"/>
    </row>
    <row r="56" spans="1:13" x14ac:dyDescent="0.2">
      <c r="C56" s="10" t="s">
        <v>92</v>
      </c>
      <c r="D56" s="28" t="s">
        <v>117</v>
      </c>
      <c r="E56" s="14" t="s">
        <v>76</v>
      </c>
      <c r="F56" s="14" t="s">
        <v>77</v>
      </c>
      <c r="G56" s="14" t="s">
        <v>77</v>
      </c>
      <c r="H56" s="14" t="s">
        <v>77</v>
      </c>
      <c r="I56" s="10" t="s">
        <v>77</v>
      </c>
      <c r="J56" s="10" t="s">
        <v>77</v>
      </c>
      <c r="K56" s="10" t="s">
        <v>77</v>
      </c>
      <c r="L56" s="10" t="s">
        <v>77</v>
      </c>
      <c r="M56" s="10" t="s">
        <v>77</v>
      </c>
    </row>
    <row r="57" spans="1:13" x14ac:dyDescent="0.2">
      <c r="A57" s="6" t="s">
        <v>26</v>
      </c>
      <c r="B57" s="26" t="s">
        <v>97</v>
      </c>
      <c r="C57" s="12" t="s">
        <v>78</v>
      </c>
      <c r="D57" s="15" t="s">
        <v>37</v>
      </c>
      <c r="E57" s="15" t="s">
        <v>90</v>
      </c>
      <c r="F57" s="15" t="s">
        <v>91</v>
      </c>
      <c r="G57" s="15" t="s">
        <v>28</v>
      </c>
      <c r="H57" s="15" t="s">
        <v>45</v>
      </c>
      <c r="I57" s="12" t="s">
        <v>46</v>
      </c>
      <c r="J57" s="12" t="s">
        <v>47</v>
      </c>
      <c r="K57" s="12" t="s">
        <v>48</v>
      </c>
      <c r="L57" s="12" t="s">
        <v>49</v>
      </c>
      <c r="M57" s="12" t="s">
        <v>63</v>
      </c>
    </row>
    <row r="58" spans="1:13" x14ac:dyDescent="0.2">
      <c r="C58" s="10"/>
      <c r="D58" s="14"/>
      <c r="E58" s="14"/>
      <c r="G58" s="14"/>
      <c r="H58" s="14"/>
      <c r="I58" s="10"/>
    </row>
    <row r="59" spans="1:13" x14ac:dyDescent="0.2">
      <c r="A59" t="s">
        <v>32</v>
      </c>
      <c r="B59" s="1" t="s">
        <v>7</v>
      </c>
      <c r="C59" s="14"/>
      <c r="D59" s="14"/>
      <c r="E59" s="14" t="s">
        <v>54</v>
      </c>
      <c r="F59" s="14">
        <f>+VLOOKUP($B59,$C$16:$G$21,5,0)</f>
        <v>439</v>
      </c>
      <c r="G59" s="14"/>
      <c r="H59" s="14"/>
      <c r="I59" s="14"/>
      <c r="J59" s="2"/>
      <c r="K59" s="2"/>
      <c r="L59" s="2"/>
      <c r="M59" s="2"/>
    </row>
    <row r="60" spans="1:13" x14ac:dyDescent="0.2">
      <c r="A60" t="s">
        <v>39</v>
      </c>
      <c r="B60" t="s">
        <v>6</v>
      </c>
      <c r="C60" s="14"/>
      <c r="D60" s="14"/>
      <c r="E60" s="14">
        <f>+VLOOKUP($B60,$C$9:$G$15,5,0)</f>
        <v>169</v>
      </c>
      <c r="F60" s="14"/>
      <c r="G60" s="14"/>
      <c r="H60" s="14"/>
      <c r="I60" s="14"/>
      <c r="J60" s="2"/>
      <c r="K60" s="2"/>
      <c r="L60" s="2"/>
      <c r="M60" s="2"/>
    </row>
    <row r="61" spans="1:13" x14ac:dyDescent="0.2">
      <c r="A61" t="s">
        <v>33</v>
      </c>
      <c r="B61" s="1" t="s">
        <v>8</v>
      </c>
      <c r="C61" s="14">
        <f>+G5</f>
        <v>575</v>
      </c>
      <c r="D61" s="14"/>
      <c r="E61" s="14" t="s">
        <v>54</v>
      </c>
      <c r="F61" s="14">
        <f>+VLOOKUP($B61,$C$16:$G$21,5,0)</f>
        <v>58</v>
      </c>
      <c r="G61" s="14"/>
      <c r="H61" s="14"/>
      <c r="I61" s="14"/>
      <c r="J61" s="2">
        <f>+G24</f>
        <v>200</v>
      </c>
      <c r="K61" s="2"/>
      <c r="L61" s="2"/>
      <c r="M61" s="2"/>
    </row>
    <row r="62" spans="1:13" x14ac:dyDescent="0.2">
      <c r="A62" t="s">
        <v>41</v>
      </c>
      <c r="B62" s="1" t="s">
        <v>9</v>
      </c>
      <c r="C62" s="14"/>
      <c r="D62" s="14"/>
      <c r="E62" s="14"/>
      <c r="F62" s="14">
        <f>+VLOOKUP($B62,$C$16:$G$21,5,0)</f>
        <v>97</v>
      </c>
      <c r="G62" s="14"/>
      <c r="H62" s="14"/>
      <c r="I62" s="14"/>
      <c r="J62" s="2"/>
      <c r="K62" s="2"/>
      <c r="L62" s="2"/>
      <c r="M62" s="2"/>
    </row>
    <row r="63" spans="1:13" x14ac:dyDescent="0.2">
      <c r="A63" t="s">
        <v>40</v>
      </c>
      <c r="B63" s="1" t="s">
        <v>10</v>
      </c>
      <c r="C63" s="14"/>
      <c r="D63" s="14"/>
      <c r="E63" s="14">
        <f>+VLOOKUP($B63,$C$9:$G$15,5,0)</f>
        <v>203</v>
      </c>
      <c r="F63" s="14"/>
      <c r="G63" s="14"/>
      <c r="H63" s="14"/>
      <c r="I63" s="14">
        <f>+G23</f>
        <v>192</v>
      </c>
      <c r="J63" s="2"/>
      <c r="K63" s="2"/>
      <c r="L63" s="2"/>
      <c r="M63" s="2"/>
    </row>
    <row r="64" spans="1:13" x14ac:dyDescent="0.2">
      <c r="A64" t="s">
        <v>34</v>
      </c>
      <c r="B64" s="1" t="s">
        <v>11</v>
      </c>
      <c r="C64" s="14">
        <f>+G6</f>
        <v>1664.48</v>
      </c>
      <c r="D64" s="14">
        <f>+G8</f>
        <v>731</v>
      </c>
      <c r="E64" s="14">
        <f>+VLOOKUP($B64,$C$9:$G$15,5,0)</f>
        <v>700</v>
      </c>
      <c r="F64" s="14"/>
      <c r="G64" s="14"/>
      <c r="H64" s="14"/>
      <c r="I64" s="14"/>
      <c r="J64" s="2"/>
      <c r="K64" s="2"/>
      <c r="L64" s="2"/>
      <c r="M64" s="2"/>
    </row>
    <row r="65" spans="1:14" x14ac:dyDescent="0.2">
      <c r="A65" t="s">
        <v>42</v>
      </c>
      <c r="B65" s="29" t="s">
        <v>12</v>
      </c>
      <c r="C65" s="14"/>
      <c r="D65" s="14"/>
      <c r="E65" s="14"/>
      <c r="F65" s="14">
        <f>+VLOOKUP($B65,$C$16:$G$21,5,0)</f>
        <v>71</v>
      </c>
      <c r="G65" s="14"/>
      <c r="H65" s="14"/>
      <c r="I65" s="14"/>
      <c r="J65" s="2"/>
      <c r="K65" s="2"/>
      <c r="L65" s="2"/>
      <c r="M65" s="2"/>
    </row>
    <row r="66" spans="1:14" x14ac:dyDescent="0.2">
      <c r="A66" t="s">
        <v>35</v>
      </c>
      <c r="B66" s="1" t="s">
        <v>13</v>
      </c>
      <c r="C66" s="14"/>
      <c r="D66" s="14"/>
      <c r="E66" s="14">
        <f>+VLOOKUP($B66,$C$9:$G$16,5,0)</f>
        <v>233.44</v>
      </c>
      <c r="F66" s="14">
        <f>+VLOOKUP($B66,$C$16:$G$21,5,0)</f>
        <v>134.56</v>
      </c>
      <c r="G66" s="14"/>
      <c r="H66" s="14"/>
      <c r="I66" s="14"/>
      <c r="J66" s="2"/>
      <c r="K66" s="2"/>
      <c r="L66" s="2"/>
      <c r="M66" s="2"/>
    </row>
    <row r="67" spans="1:14" x14ac:dyDescent="0.2">
      <c r="A67" t="s">
        <v>29</v>
      </c>
      <c r="B67" s="1" t="s">
        <v>14</v>
      </c>
      <c r="C67" s="14"/>
      <c r="D67" s="14"/>
      <c r="E67" s="14" t="s">
        <v>54</v>
      </c>
      <c r="F67" s="14">
        <f>+VLOOKUP($B67,$C$16:$G$21,5,0)</f>
        <v>134</v>
      </c>
      <c r="G67" s="14">
        <f>+G3</f>
        <v>60</v>
      </c>
      <c r="H67" s="14"/>
      <c r="I67" s="14"/>
      <c r="J67" s="2"/>
      <c r="K67" s="2"/>
      <c r="L67" s="2"/>
      <c r="M67" s="2"/>
    </row>
    <row r="68" spans="1:14" x14ac:dyDescent="0.2">
      <c r="A68" t="s">
        <v>36</v>
      </c>
      <c r="B68" s="1" t="s">
        <v>15</v>
      </c>
      <c r="C68" s="14">
        <f>+G7</f>
        <v>806</v>
      </c>
      <c r="D68" s="14"/>
      <c r="E68" s="14" t="s">
        <v>54</v>
      </c>
      <c r="F68" s="14"/>
      <c r="G68" s="14"/>
      <c r="H68" s="14"/>
      <c r="I68" s="14"/>
      <c r="J68" s="2"/>
      <c r="K68" s="2"/>
      <c r="L68" s="2"/>
      <c r="M68" s="2"/>
    </row>
    <row r="69" spans="1:14" x14ac:dyDescent="0.2">
      <c r="A69" t="s">
        <v>30</v>
      </c>
      <c r="B69" s="1" t="s">
        <v>16</v>
      </c>
      <c r="C69" s="14"/>
      <c r="D69" s="14"/>
      <c r="E69" s="14">
        <f>+VLOOKUP($B69,$C$9:$G$15,5,0)</f>
        <v>1043</v>
      </c>
      <c r="F69" s="14"/>
      <c r="G69" s="14">
        <f>+G4</f>
        <v>204</v>
      </c>
      <c r="H69" s="14">
        <f>+G22</f>
        <v>7071</v>
      </c>
      <c r="I69" s="2"/>
      <c r="J69" s="2"/>
      <c r="K69" s="2"/>
      <c r="L69" s="2"/>
      <c r="M69" s="2"/>
    </row>
    <row r="70" spans="1:14" x14ac:dyDescent="0.2">
      <c r="A70" t="s">
        <v>43</v>
      </c>
      <c r="B70" s="1" t="s">
        <v>17</v>
      </c>
      <c r="C70" s="14"/>
      <c r="D70" s="14"/>
      <c r="E70" s="14">
        <f>+VLOOKUP($B70,$C$9:$G$15,5,0)</f>
        <v>135</v>
      </c>
      <c r="F70" s="14"/>
      <c r="G70" s="14"/>
      <c r="H70" s="14"/>
      <c r="I70" s="14"/>
      <c r="J70" s="2"/>
      <c r="K70" s="2"/>
      <c r="L70" s="2"/>
      <c r="M70" s="2"/>
    </row>
    <row r="71" spans="1:14" x14ac:dyDescent="0.2">
      <c r="A71" t="s">
        <v>44</v>
      </c>
      <c r="B71" s="1" t="s">
        <v>18</v>
      </c>
      <c r="C71" s="14"/>
      <c r="D71" s="14"/>
      <c r="E71" s="14">
        <f>+VLOOKUP($B71,$C$9:$G$15,5,0)</f>
        <v>139</v>
      </c>
      <c r="F71" s="14"/>
      <c r="G71" s="14"/>
      <c r="H71" s="14"/>
      <c r="I71" s="14"/>
      <c r="J71" s="2"/>
      <c r="K71" s="2"/>
      <c r="L71" s="2"/>
      <c r="M71" s="2"/>
    </row>
    <row r="72" spans="1:14" x14ac:dyDescent="0.2">
      <c r="C72" s="2"/>
      <c r="D72" s="2"/>
      <c r="E72" s="2"/>
      <c r="G72" s="2"/>
      <c r="H72" s="2"/>
      <c r="I72" s="2"/>
      <c r="J72" s="2"/>
      <c r="K72" s="2"/>
      <c r="L72" s="2"/>
      <c r="M72" s="2"/>
    </row>
    <row r="73" spans="1:14" x14ac:dyDescent="0.2">
      <c r="A73" t="s">
        <v>52</v>
      </c>
      <c r="C73" s="2">
        <f t="shared" ref="C73:M73" si="2">+SUM(C59:C71)</f>
        <v>3045.48</v>
      </c>
      <c r="D73" s="2">
        <f t="shared" si="2"/>
        <v>731</v>
      </c>
      <c r="E73" s="2">
        <f t="shared" si="2"/>
        <v>2622.44</v>
      </c>
      <c r="F73" s="2">
        <f t="shared" si="2"/>
        <v>933.56</v>
      </c>
      <c r="G73" s="2">
        <f t="shared" si="2"/>
        <v>264</v>
      </c>
      <c r="H73" s="2">
        <f t="shared" si="2"/>
        <v>7071</v>
      </c>
      <c r="I73" s="2">
        <f t="shared" si="2"/>
        <v>192</v>
      </c>
      <c r="J73" s="2">
        <f t="shared" si="2"/>
        <v>200</v>
      </c>
      <c r="K73" s="2">
        <f t="shared" si="2"/>
        <v>0</v>
      </c>
      <c r="L73" s="2">
        <f t="shared" si="2"/>
        <v>0</v>
      </c>
      <c r="M73" s="2">
        <f t="shared" si="2"/>
        <v>0</v>
      </c>
      <c r="N73" s="2">
        <f>+SUM(C73:M73)</f>
        <v>15059.48</v>
      </c>
    </row>
    <row r="74" spans="1:14" x14ac:dyDescent="0.2">
      <c r="D74" s="2"/>
      <c r="E74" s="2"/>
      <c r="F74" s="2"/>
      <c r="G74" s="2"/>
      <c r="H74" s="2"/>
      <c r="I74" s="2"/>
    </row>
    <row r="75" spans="1:14" x14ac:dyDescent="0.2">
      <c r="D75" s="2"/>
      <c r="E75" s="2"/>
      <c r="F75" s="2"/>
      <c r="G75" s="2"/>
      <c r="H75" s="2"/>
      <c r="I75" s="2"/>
    </row>
    <row r="76" spans="1:14" x14ac:dyDescent="0.2">
      <c r="A76" s="4" t="s">
        <v>100</v>
      </c>
      <c r="B76" s="10"/>
      <c r="C76" s="10"/>
      <c r="D76" s="10"/>
      <c r="E76" s="10"/>
      <c r="F76" s="14"/>
      <c r="G76" s="2"/>
      <c r="H76" s="21"/>
      <c r="I76" s="21"/>
      <c r="J76" s="20"/>
    </row>
    <row r="77" spans="1:14" x14ac:dyDescent="0.2">
      <c r="B77" s="10"/>
      <c r="C77" s="10"/>
      <c r="D77" s="10"/>
      <c r="E77" s="10"/>
      <c r="F77" s="14"/>
      <c r="G77" s="2"/>
      <c r="H77" s="2"/>
      <c r="I77" s="2"/>
    </row>
    <row r="78" spans="1:14" x14ac:dyDescent="0.2">
      <c r="B78" s="10"/>
      <c r="C78" s="5" t="s">
        <v>23</v>
      </c>
      <c r="D78" s="5" t="s">
        <v>23</v>
      </c>
      <c r="E78" s="13"/>
      <c r="F78" s="14"/>
      <c r="G78" s="2"/>
      <c r="H78" s="2"/>
      <c r="I78" s="2"/>
    </row>
    <row r="79" spans="1:14" x14ac:dyDescent="0.2">
      <c r="A79" t="s">
        <v>51</v>
      </c>
      <c r="B79" s="10"/>
      <c r="C79" s="10" t="s">
        <v>64</v>
      </c>
      <c r="D79" s="10" t="s">
        <v>65</v>
      </c>
      <c r="E79" s="13" t="s">
        <v>24</v>
      </c>
      <c r="F79" s="14"/>
      <c r="G79" s="2"/>
      <c r="H79" s="2"/>
      <c r="I79" s="2"/>
    </row>
    <row r="80" spans="1:14" x14ac:dyDescent="0.2">
      <c r="A80" s="6"/>
      <c r="B80" s="12"/>
      <c r="C80" s="7">
        <v>2030</v>
      </c>
      <c r="D80" s="7">
        <v>2030</v>
      </c>
      <c r="E80" s="8" t="s">
        <v>27</v>
      </c>
      <c r="F80" s="14"/>
      <c r="G80" s="2"/>
      <c r="H80" s="2"/>
      <c r="I80" s="2"/>
    </row>
    <row r="81" spans="1:10" x14ac:dyDescent="0.2">
      <c r="A81" t="s">
        <v>28</v>
      </c>
      <c r="B81" s="13"/>
      <c r="C81" s="14">
        <f>+'preg1 sin politica'!D81</f>
        <v>264</v>
      </c>
      <c r="D81" s="14">
        <f t="shared" ref="D81:D87" si="3">+G35</f>
        <v>264</v>
      </c>
      <c r="E81" s="16">
        <f t="shared" ref="E81:E87" si="4">+D81/C81-1</f>
        <v>0</v>
      </c>
      <c r="F81" s="14"/>
      <c r="G81" s="2"/>
      <c r="H81" s="2"/>
      <c r="I81" s="2"/>
    </row>
    <row r="82" spans="1:10" x14ac:dyDescent="0.2">
      <c r="A82" t="s">
        <v>31</v>
      </c>
      <c r="B82" s="13"/>
      <c r="C82" s="14">
        <f>+'preg1 sin politica'!D82</f>
        <v>4774.84</v>
      </c>
      <c r="D82" s="14">
        <f t="shared" si="3"/>
        <v>3045.48</v>
      </c>
      <c r="E82" s="16">
        <f t="shared" si="4"/>
        <v>-0.36218176944148917</v>
      </c>
      <c r="F82" s="14"/>
      <c r="G82" s="2"/>
      <c r="H82" s="2"/>
      <c r="I82" s="2"/>
    </row>
    <row r="83" spans="1:10" x14ac:dyDescent="0.2">
      <c r="A83" t="s">
        <v>37</v>
      </c>
      <c r="B83" s="13"/>
      <c r="C83" s="14">
        <f>+'preg1 sin politica'!D83</f>
        <v>731</v>
      </c>
      <c r="D83" s="14">
        <f t="shared" si="3"/>
        <v>731</v>
      </c>
      <c r="E83" s="16">
        <f t="shared" si="4"/>
        <v>0</v>
      </c>
      <c r="F83" s="14"/>
      <c r="G83" s="2"/>
      <c r="H83" s="2"/>
      <c r="I83" s="2"/>
    </row>
    <row r="84" spans="1:10" x14ac:dyDescent="0.2">
      <c r="A84" t="s">
        <v>38</v>
      </c>
      <c r="B84" s="10"/>
      <c r="C84" s="14">
        <f>+'preg1 sin politica'!D84</f>
        <v>3556</v>
      </c>
      <c r="D84" s="14">
        <f t="shared" si="3"/>
        <v>3556</v>
      </c>
      <c r="E84" s="16">
        <f t="shared" si="4"/>
        <v>0</v>
      </c>
      <c r="F84" s="14"/>
      <c r="G84" s="2"/>
      <c r="H84" s="2"/>
      <c r="I84" s="2"/>
    </row>
    <row r="85" spans="1:10" x14ac:dyDescent="0.2">
      <c r="A85" t="s">
        <v>45</v>
      </c>
      <c r="B85" s="10"/>
      <c r="C85" s="14">
        <f>+'preg1 sin politica'!D85</f>
        <v>5571</v>
      </c>
      <c r="D85" s="14">
        <f t="shared" si="3"/>
        <v>7071</v>
      </c>
      <c r="E85" s="16">
        <f t="shared" si="4"/>
        <v>0.26925148088314477</v>
      </c>
      <c r="F85" s="14"/>
      <c r="G85" s="2"/>
      <c r="H85" s="2"/>
      <c r="I85" s="2"/>
    </row>
    <row r="86" spans="1:10" x14ac:dyDescent="0.2">
      <c r="A86" t="s">
        <v>46</v>
      </c>
      <c r="B86" s="10"/>
      <c r="C86" s="14">
        <f>+'preg1 sin politica'!D86</f>
        <v>192</v>
      </c>
      <c r="D86" s="14">
        <f t="shared" si="3"/>
        <v>192</v>
      </c>
      <c r="E86" s="16">
        <f t="shared" si="4"/>
        <v>0</v>
      </c>
      <c r="F86" s="14"/>
      <c r="G86" s="2"/>
      <c r="H86" s="2"/>
      <c r="I86" s="2"/>
    </row>
    <row r="87" spans="1:10" x14ac:dyDescent="0.2">
      <c r="A87" t="s">
        <v>47</v>
      </c>
      <c r="B87" s="10"/>
      <c r="C87" s="14">
        <f>+'preg1 sin politica'!D87</f>
        <v>200</v>
      </c>
      <c r="D87" s="14">
        <f t="shared" si="3"/>
        <v>200</v>
      </c>
      <c r="E87" s="16">
        <f t="shared" si="4"/>
        <v>0</v>
      </c>
      <c r="F87" s="14"/>
      <c r="G87" s="2"/>
      <c r="H87" s="2"/>
      <c r="I87" s="2"/>
    </row>
    <row r="88" spans="1:10" x14ac:dyDescent="0.2">
      <c r="A88" t="s">
        <v>48</v>
      </c>
      <c r="B88" s="10"/>
      <c r="C88" s="13"/>
      <c r="D88" s="14"/>
      <c r="E88" s="14"/>
      <c r="F88" s="14"/>
      <c r="G88" s="2"/>
      <c r="H88" s="2"/>
      <c r="I88" s="2"/>
    </row>
    <row r="89" spans="1:10" x14ac:dyDescent="0.2">
      <c r="A89" t="s">
        <v>49</v>
      </c>
      <c r="B89" s="10"/>
      <c r="C89" s="10"/>
      <c r="D89" s="14"/>
      <c r="E89" s="14"/>
      <c r="F89" s="14"/>
      <c r="G89" s="2"/>
      <c r="H89" s="2"/>
      <c r="I89" s="2"/>
    </row>
    <row r="90" spans="1:10" x14ac:dyDescent="0.2">
      <c r="A90" s="6" t="s">
        <v>50</v>
      </c>
      <c r="B90" s="12"/>
      <c r="C90" s="12"/>
      <c r="D90" s="15"/>
      <c r="E90" s="15"/>
      <c r="F90" s="14"/>
      <c r="G90" s="2"/>
      <c r="H90" s="2"/>
      <c r="I90" s="2"/>
    </row>
    <row r="91" spans="1:10" x14ac:dyDescent="0.2">
      <c r="D91" s="2"/>
      <c r="E91" s="2"/>
      <c r="F91" s="2"/>
      <c r="G91" s="2"/>
      <c r="H91" s="2"/>
      <c r="I91" s="2"/>
    </row>
    <row r="92" spans="1:10" x14ac:dyDescent="0.2">
      <c r="A92" t="s">
        <v>52</v>
      </c>
      <c r="C92" s="2">
        <f>+SUM(C81:C90)</f>
        <v>15288.84</v>
      </c>
      <c r="D92" s="2">
        <f>+SUM(D81:D90)</f>
        <v>15059.48</v>
      </c>
      <c r="E92" s="2"/>
      <c r="F92" s="2"/>
      <c r="G92" s="2"/>
      <c r="H92" s="2"/>
      <c r="I92" s="2"/>
    </row>
    <row r="93" spans="1:10" x14ac:dyDescent="0.2">
      <c r="D93" s="2"/>
      <c r="E93" s="2"/>
      <c r="F93" s="2"/>
      <c r="G93" s="2"/>
      <c r="H93" s="2"/>
      <c r="I93" s="2"/>
    </row>
    <row r="94" spans="1:10" x14ac:dyDescent="0.2">
      <c r="A94" s="4" t="s">
        <v>101</v>
      </c>
      <c r="B94" s="10"/>
      <c r="C94" s="10"/>
      <c r="D94" s="10"/>
      <c r="E94" s="10"/>
      <c r="F94" s="2"/>
      <c r="G94" s="2"/>
      <c r="H94" s="21"/>
      <c r="I94" s="21"/>
      <c r="J94" s="20"/>
    </row>
    <row r="95" spans="1:10" x14ac:dyDescent="0.2">
      <c r="B95" s="10"/>
      <c r="C95" s="10"/>
      <c r="D95" s="10"/>
      <c r="E95" s="10"/>
      <c r="F95" s="2"/>
      <c r="G95" s="2"/>
      <c r="H95" s="2"/>
      <c r="I95" s="2"/>
    </row>
    <row r="96" spans="1:10" x14ac:dyDescent="0.2">
      <c r="B96" s="10"/>
      <c r="C96" s="5" t="s">
        <v>53</v>
      </c>
      <c r="D96" s="5" t="s">
        <v>53</v>
      </c>
      <c r="E96" s="10"/>
      <c r="F96" s="2"/>
      <c r="G96" s="2"/>
      <c r="H96" s="2"/>
      <c r="I96" s="2"/>
    </row>
    <row r="97" spans="1:9" x14ac:dyDescent="0.2">
      <c r="B97" s="10"/>
      <c r="C97" s="10" t="s">
        <v>64</v>
      </c>
      <c r="D97" s="10" t="s">
        <v>65</v>
      </c>
      <c r="E97" s="13" t="s">
        <v>24</v>
      </c>
      <c r="F97" s="2"/>
      <c r="G97" s="2"/>
      <c r="H97" s="2"/>
      <c r="I97" s="2"/>
    </row>
    <row r="98" spans="1:9" x14ac:dyDescent="0.2">
      <c r="A98" s="6"/>
      <c r="B98" s="12"/>
      <c r="C98" s="7">
        <v>2030</v>
      </c>
      <c r="D98" s="7">
        <v>2030</v>
      </c>
      <c r="E98" s="8" t="s">
        <v>27</v>
      </c>
      <c r="F98" s="2"/>
      <c r="G98" s="2"/>
      <c r="H98" s="2"/>
      <c r="I98" s="2"/>
    </row>
    <row r="99" spans="1:9" x14ac:dyDescent="0.2">
      <c r="A99" t="s">
        <v>28</v>
      </c>
      <c r="B99" s="10"/>
      <c r="C99" s="14">
        <f>+'preg1 sin politica'!D99</f>
        <v>1271.6399999999999</v>
      </c>
      <c r="D99" s="14">
        <f t="shared" ref="D99:D104" si="5">+F35</f>
        <v>1271.6399999999999</v>
      </c>
      <c r="E99" s="16">
        <f t="shared" ref="E99:E104" si="6">+D99/C99-1</f>
        <v>0</v>
      </c>
      <c r="F99" s="2"/>
      <c r="G99" s="19" t="s">
        <v>54</v>
      </c>
      <c r="H99" s="2"/>
      <c r="I99" s="2"/>
    </row>
    <row r="100" spans="1:9" x14ac:dyDescent="0.2">
      <c r="A100" t="s">
        <v>31</v>
      </c>
      <c r="B100" s="10"/>
      <c r="C100" s="14">
        <f>+'preg1 sin politica'!D100</f>
        <v>32183.24</v>
      </c>
      <c r="D100" s="14">
        <f t="shared" si="5"/>
        <v>20971.149999999998</v>
      </c>
      <c r="E100" s="16">
        <f t="shared" si="6"/>
        <v>-0.34838288500474168</v>
      </c>
      <c r="F100" s="2"/>
      <c r="G100" s="2"/>
      <c r="H100" s="2"/>
      <c r="I100" s="2"/>
    </row>
    <row r="101" spans="1:9" x14ac:dyDescent="0.2">
      <c r="A101" t="s">
        <v>37</v>
      </c>
      <c r="B101" s="10"/>
      <c r="C101" s="14">
        <f>+'preg1 sin politica'!D101</f>
        <v>815.8</v>
      </c>
      <c r="D101" s="14">
        <f t="shared" si="5"/>
        <v>3397.68</v>
      </c>
      <c r="E101" s="16">
        <f t="shared" si="6"/>
        <v>3.1648443245893603</v>
      </c>
      <c r="F101" s="2"/>
      <c r="G101" s="2" t="s">
        <v>54</v>
      </c>
      <c r="H101" s="2"/>
      <c r="I101" s="2"/>
    </row>
    <row r="102" spans="1:9" x14ac:dyDescent="0.2">
      <c r="A102" t="s">
        <v>38</v>
      </c>
      <c r="B102" s="10"/>
      <c r="C102" s="14">
        <f>+'preg1 sin politica'!D102</f>
        <v>2018.6</v>
      </c>
      <c r="D102" s="14">
        <f t="shared" si="5"/>
        <v>2764.8100000000004</v>
      </c>
      <c r="E102" s="16">
        <f t="shared" si="6"/>
        <v>0.36966709600713399</v>
      </c>
      <c r="F102" s="2"/>
      <c r="G102" s="2"/>
      <c r="H102" s="2"/>
      <c r="I102" s="2"/>
    </row>
    <row r="103" spans="1:9" x14ac:dyDescent="0.2">
      <c r="A103" t="s">
        <v>45</v>
      </c>
      <c r="B103" s="10"/>
      <c r="C103" s="14">
        <f>+'preg1 sin politica'!D103</f>
        <v>29281.18</v>
      </c>
      <c r="D103" s="14">
        <f t="shared" si="5"/>
        <v>37165.18</v>
      </c>
      <c r="E103" s="16">
        <f t="shared" si="6"/>
        <v>0.26925144410163804</v>
      </c>
      <c r="F103" s="2"/>
      <c r="G103" s="2"/>
      <c r="H103" s="2"/>
      <c r="I103" s="2"/>
    </row>
    <row r="104" spans="1:9" x14ac:dyDescent="0.2">
      <c r="A104" t="s">
        <v>46</v>
      </c>
      <c r="B104" s="10"/>
      <c r="C104" s="14">
        <f>+'preg1 sin politica'!D104</f>
        <v>420.48</v>
      </c>
      <c r="D104" s="14">
        <f t="shared" si="5"/>
        <v>420.48</v>
      </c>
      <c r="E104" s="16">
        <f t="shared" si="6"/>
        <v>0</v>
      </c>
      <c r="F104" s="2"/>
      <c r="G104" s="2"/>
      <c r="H104" s="2"/>
      <c r="I104" s="2"/>
    </row>
    <row r="105" spans="1:9" x14ac:dyDescent="0.2">
      <c r="A105" t="s">
        <v>47</v>
      </c>
      <c r="B105" s="10"/>
      <c r="C105" s="14">
        <f>+'preg1 sin politica'!D105</f>
        <v>438</v>
      </c>
      <c r="D105" s="14">
        <f t="shared" ref="D105" si="7">+F41</f>
        <v>438</v>
      </c>
      <c r="E105" s="16">
        <f t="shared" ref="E105" si="8">+D105/C105-1</f>
        <v>0</v>
      </c>
      <c r="F105" s="2"/>
      <c r="G105" s="2"/>
      <c r="H105" s="2"/>
      <c r="I105" s="2"/>
    </row>
    <row r="106" spans="1:9" x14ac:dyDescent="0.2">
      <c r="A106" t="s">
        <v>48</v>
      </c>
      <c r="B106" s="10"/>
      <c r="C106" s="14"/>
      <c r="D106" s="14"/>
      <c r="E106" s="14"/>
      <c r="F106" s="2"/>
      <c r="G106" s="2"/>
      <c r="H106" s="2"/>
      <c r="I106" s="2"/>
    </row>
    <row r="107" spans="1:9" x14ac:dyDescent="0.2">
      <c r="A107" t="s">
        <v>49</v>
      </c>
      <c r="B107" s="10"/>
      <c r="C107" s="10"/>
      <c r="D107" s="14"/>
      <c r="E107" s="14"/>
      <c r="F107" s="2"/>
      <c r="G107" s="2"/>
      <c r="H107" s="2"/>
      <c r="I107" s="2"/>
    </row>
    <row r="108" spans="1:9" x14ac:dyDescent="0.2">
      <c r="A108" s="6" t="s">
        <v>50</v>
      </c>
      <c r="B108" s="12"/>
      <c r="C108" s="12"/>
      <c r="D108" s="15"/>
      <c r="E108" s="15"/>
      <c r="F108" s="2"/>
      <c r="G108" s="2"/>
      <c r="H108" s="2"/>
      <c r="I108" s="2"/>
    </row>
    <row r="109" spans="1:9" x14ac:dyDescent="0.2">
      <c r="B109" s="10"/>
      <c r="C109" s="10"/>
      <c r="D109" s="14"/>
      <c r="E109" s="14"/>
      <c r="F109" s="2"/>
      <c r="G109" s="2"/>
      <c r="H109" s="2"/>
      <c r="I109" s="2"/>
    </row>
    <row r="110" spans="1:9" x14ac:dyDescent="0.2">
      <c r="A110" t="s">
        <v>52</v>
      </c>
      <c r="B110" s="10"/>
      <c r="C110" s="14">
        <f>+SUM(C99:C108)</f>
        <v>66428.94</v>
      </c>
      <c r="D110" s="14">
        <f>+SUM(D99:D108)</f>
        <v>66428.939999999988</v>
      </c>
      <c r="E110" s="14"/>
      <c r="F110" s="2"/>
      <c r="G110" s="2"/>
      <c r="H110" s="2"/>
      <c r="I110" s="2"/>
    </row>
    <row r="111" spans="1:9" x14ac:dyDescent="0.2">
      <c r="D111" s="2"/>
      <c r="E111" s="2"/>
      <c r="F111" s="2"/>
      <c r="G111" s="2"/>
      <c r="H111" s="2"/>
      <c r="I111" s="2"/>
    </row>
    <row r="113" spans="1:10" x14ac:dyDescent="0.2">
      <c r="A113" s="4" t="s">
        <v>102</v>
      </c>
      <c r="E113" s="10"/>
      <c r="H113" s="21"/>
      <c r="I113" s="21"/>
      <c r="J113" s="20"/>
    </row>
    <row r="114" spans="1:10" x14ac:dyDescent="0.2">
      <c r="E114" s="10"/>
    </row>
    <row r="115" spans="1:10" x14ac:dyDescent="0.2">
      <c r="B115" s="32" t="s">
        <v>66</v>
      </c>
      <c r="C115" s="32"/>
      <c r="E115" s="10"/>
    </row>
    <row r="116" spans="1:10" x14ac:dyDescent="0.2">
      <c r="B116" s="10" t="s">
        <v>64</v>
      </c>
      <c r="C116" s="10" t="s">
        <v>65</v>
      </c>
      <c r="D116" s="3" t="s">
        <v>24</v>
      </c>
      <c r="E116" s="10"/>
    </row>
    <row r="117" spans="1:10" x14ac:dyDescent="0.2">
      <c r="A117" s="6" t="s">
        <v>25</v>
      </c>
      <c r="B117" s="7">
        <v>2030</v>
      </c>
      <c r="C117" s="7">
        <v>2030</v>
      </c>
      <c r="D117" s="8" t="s">
        <v>27</v>
      </c>
      <c r="E117" s="10"/>
    </row>
    <row r="118" spans="1:10" x14ac:dyDescent="0.2">
      <c r="A118" t="s">
        <v>54</v>
      </c>
      <c r="E118" s="10"/>
    </row>
    <row r="119" spans="1:10" x14ac:dyDescent="0.2">
      <c r="A119" t="s">
        <v>60</v>
      </c>
      <c r="B119" s="2">
        <f>+'preg1 sin politica'!E29/1000000</f>
        <v>1817.1539</v>
      </c>
      <c r="C119" s="2">
        <f>+E30/1000000</f>
        <v>2293.6289000000002</v>
      </c>
      <c r="D119" s="16">
        <f>+C119/B119-1</f>
        <v>0.2622094914470372</v>
      </c>
      <c r="E119" s="10"/>
    </row>
    <row r="120" spans="1:10" x14ac:dyDescent="0.2">
      <c r="A120" s="6"/>
      <c r="B120" s="6"/>
      <c r="C120" s="6"/>
      <c r="D120" s="6"/>
      <c r="E120" s="10"/>
    </row>
    <row r="121" spans="1:10" x14ac:dyDescent="0.2">
      <c r="B121" s="10"/>
      <c r="C121" s="10"/>
      <c r="D121" s="10"/>
      <c r="E121" s="10"/>
    </row>
    <row r="122" spans="1:10" x14ac:dyDescent="0.2">
      <c r="B122" s="10"/>
      <c r="C122" s="10"/>
      <c r="D122" s="10"/>
      <c r="E122" s="10"/>
    </row>
    <row r="123" spans="1:10" x14ac:dyDescent="0.2">
      <c r="A123" s="4" t="s">
        <v>103</v>
      </c>
      <c r="E123" s="10"/>
      <c r="H123" s="21"/>
      <c r="I123" s="21"/>
      <c r="J123" s="20"/>
    </row>
    <row r="124" spans="1:10" x14ac:dyDescent="0.2">
      <c r="E124" s="10"/>
    </row>
    <row r="125" spans="1:10" x14ac:dyDescent="0.2">
      <c r="B125" s="32" t="s">
        <v>67</v>
      </c>
      <c r="C125" s="32"/>
      <c r="E125" s="10"/>
    </row>
    <row r="126" spans="1:10" x14ac:dyDescent="0.2">
      <c r="B126" s="10" t="s">
        <v>64</v>
      </c>
      <c r="C126" s="10" t="s">
        <v>65</v>
      </c>
      <c r="D126" s="3" t="s">
        <v>24</v>
      </c>
      <c r="E126" s="10"/>
    </row>
    <row r="127" spans="1:10" x14ac:dyDescent="0.2">
      <c r="A127" s="6" t="s">
        <v>25</v>
      </c>
      <c r="B127" s="7">
        <v>2030</v>
      </c>
      <c r="C127" s="7">
        <v>2030</v>
      </c>
      <c r="D127" s="8" t="s">
        <v>27</v>
      </c>
      <c r="E127" s="10"/>
    </row>
    <row r="128" spans="1:10" x14ac:dyDescent="0.2">
      <c r="A128" t="s">
        <v>54</v>
      </c>
      <c r="E128" s="10"/>
    </row>
    <row r="129" spans="1:10" x14ac:dyDescent="0.2">
      <c r="A129" t="s">
        <v>60</v>
      </c>
      <c r="B129" s="2">
        <f>+'preg1 sin politica'!C129</f>
        <v>2912.2398891000003</v>
      </c>
      <c r="C129" s="2">
        <f>+C119+SUM(A30:C30)/1000000</f>
        <v>2466.6682137900002</v>
      </c>
      <c r="D129" s="16">
        <f>+C129/B129-1</f>
        <v>-0.1529996471024575</v>
      </c>
      <c r="E129" s="10"/>
      <c r="F129" s="2"/>
    </row>
    <row r="130" spans="1:10" x14ac:dyDescent="0.2">
      <c r="A130" s="6"/>
      <c r="B130" s="6"/>
      <c r="C130" s="6"/>
      <c r="D130" s="6"/>
      <c r="E130" s="10"/>
    </row>
    <row r="131" spans="1:10" x14ac:dyDescent="0.2">
      <c r="B131" s="10"/>
      <c r="C131" s="10"/>
      <c r="D131" s="10"/>
      <c r="E131" s="10"/>
    </row>
    <row r="132" spans="1:10" x14ac:dyDescent="0.2">
      <c r="B132" s="10"/>
      <c r="C132" s="10"/>
      <c r="D132" s="10"/>
      <c r="E132" s="10"/>
    </row>
    <row r="133" spans="1:10" x14ac:dyDescent="0.2">
      <c r="A133" s="4" t="s">
        <v>104</v>
      </c>
      <c r="E133" s="10"/>
      <c r="H133" s="21"/>
      <c r="I133" s="21"/>
      <c r="J133" s="20"/>
    </row>
    <row r="134" spans="1:10" x14ac:dyDescent="0.2">
      <c r="A134" s="4" t="s">
        <v>55</v>
      </c>
      <c r="E134" s="10"/>
    </row>
    <row r="135" spans="1:10" x14ac:dyDescent="0.2">
      <c r="E135" s="10"/>
    </row>
    <row r="136" spans="1:10" x14ac:dyDescent="0.2">
      <c r="B136" s="10" t="s">
        <v>64</v>
      </c>
      <c r="C136" s="10" t="s">
        <v>65</v>
      </c>
      <c r="D136" s="3" t="s">
        <v>24</v>
      </c>
      <c r="E136" s="10"/>
    </row>
    <row r="137" spans="1:10" x14ac:dyDescent="0.2">
      <c r="A137" s="6"/>
      <c r="B137" s="7">
        <v>2030</v>
      </c>
      <c r="C137" s="7">
        <v>2030</v>
      </c>
      <c r="D137" s="8" t="s">
        <v>27</v>
      </c>
      <c r="E137" s="10"/>
    </row>
    <row r="138" spans="1:10" x14ac:dyDescent="0.2">
      <c r="A138" t="s">
        <v>56</v>
      </c>
      <c r="B138" s="2">
        <f>+'preg1 sin politica'!C138</f>
        <v>253490</v>
      </c>
      <c r="C138" s="2">
        <f>+A28*1000</f>
        <v>2490</v>
      </c>
      <c r="D138" s="16">
        <f>+C138/B138-1</f>
        <v>-0.99017712730285223</v>
      </c>
      <c r="F138" s="2" t="s">
        <v>54</v>
      </c>
      <c r="G138" s="18" t="s">
        <v>54</v>
      </c>
    </row>
    <row r="139" spans="1:10" x14ac:dyDescent="0.2">
      <c r="A139" t="s">
        <v>57</v>
      </c>
      <c r="B139" s="2">
        <f>+'preg1 sin politica'!C139</f>
        <v>239170</v>
      </c>
      <c r="C139" s="2">
        <f>+B28*1000</f>
        <v>22290</v>
      </c>
      <c r="D139" s="16">
        <f>+C139/B139-1</f>
        <v>-0.9068026926453987</v>
      </c>
      <c r="E139" s="10"/>
    </row>
    <row r="140" spans="1:10" x14ac:dyDescent="0.2">
      <c r="A140" t="s">
        <v>58</v>
      </c>
      <c r="B140" s="2">
        <f>+'preg1 sin politica'!C140</f>
        <v>98860</v>
      </c>
      <c r="C140" s="2">
        <f>+C28*1000</f>
        <v>94240</v>
      </c>
      <c r="D140" s="16">
        <f>+C140/B140-1</f>
        <v>-4.6732753388630366E-2</v>
      </c>
      <c r="E140" s="10"/>
    </row>
    <row r="141" spans="1:10" ht="15.75" x14ac:dyDescent="0.3">
      <c r="A141" s="1" t="s">
        <v>59</v>
      </c>
      <c r="B141" s="2">
        <f>+'preg1 sin politica'!C141</f>
        <v>27174340</v>
      </c>
      <c r="C141" s="2">
        <f>+D28*1000</f>
        <v>20496430</v>
      </c>
      <c r="D141" s="16">
        <f>+C141/B141-1</f>
        <v>-0.24574322688241923</v>
      </c>
      <c r="E141" s="10"/>
    </row>
    <row r="142" spans="1:10" x14ac:dyDescent="0.2">
      <c r="A142" s="6"/>
      <c r="B142" s="6"/>
      <c r="C142" s="6"/>
      <c r="D142" s="6"/>
      <c r="E142" s="10"/>
    </row>
    <row r="143" spans="1:10" x14ac:dyDescent="0.2">
      <c r="B143" s="10"/>
      <c r="C143" s="10"/>
      <c r="D143" s="10"/>
      <c r="E143" s="10"/>
    </row>
    <row r="144" spans="1:10" x14ac:dyDescent="0.2">
      <c r="B144" s="10"/>
      <c r="C144" s="10"/>
      <c r="D144" s="10"/>
      <c r="E144" s="10"/>
    </row>
    <row r="145" spans="1:5" x14ac:dyDescent="0.2">
      <c r="B145" s="10"/>
      <c r="C145" s="10"/>
      <c r="D145" s="10"/>
      <c r="E145" s="10"/>
    </row>
    <row r="146" spans="1:5" x14ac:dyDescent="0.2">
      <c r="A146" s="9" t="s">
        <v>84</v>
      </c>
      <c r="B146" s="10"/>
      <c r="C146" s="10"/>
      <c r="D146" s="10"/>
      <c r="E146" s="10"/>
    </row>
    <row r="147" spans="1:5" x14ac:dyDescent="0.2">
      <c r="B147" s="10"/>
      <c r="C147" s="10"/>
      <c r="D147" s="10"/>
      <c r="E147" s="10"/>
    </row>
    <row r="148" spans="1:5" x14ac:dyDescent="0.2">
      <c r="B148" s="10"/>
      <c r="C148" s="10"/>
      <c r="D148" s="10"/>
      <c r="E148" s="10"/>
    </row>
    <row r="149" spans="1:5" x14ac:dyDescent="0.2">
      <c r="B149" s="10"/>
      <c r="C149" s="10"/>
      <c r="D149" s="10"/>
      <c r="E149" s="10"/>
    </row>
    <row r="150" spans="1:5" x14ac:dyDescent="0.2">
      <c r="B150" s="10"/>
      <c r="C150" s="10"/>
      <c r="D150" s="10"/>
      <c r="E150" s="10"/>
    </row>
    <row r="151" spans="1:5" x14ac:dyDescent="0.2">
      <c r="B151" s="10"/>
      <c r="C151" s="10"/>
      <c r="D151" s="10"/>
      <c r="E151" s="10"/>
    </row>
  </sheetData>
  <mergeCells count="2">
    <mergeCell ref="B115:C115"/>
    <mergeCell ref="B125:C125"/>
  </mergeCells>
  <phoneticPr fontId="2" type="noConversion"/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51"/>
  <sheetViews>
    <sheetView topLeftCell="A13" zoomScale="130" zoomScaleNormal="130" workbookViewId="0">
      <selection activeCell="D28" sqref="D28"/>
    </sheetView>
  </sheetViews>
  <sheetFormatPr baseColWidth="10" defaultRowHeight="12.75" x14ac:dyDescent="0.2"/>
  <cols>
    <col min="1" max="1" width="16.5703125" customWidth="1"/>
    <col min="2" max="2" width="12.7109375" customWidth="1"/>
    <col min="3" max="3" width="14.5703125" customWidth="1"/>
    <col min="4" max="4" width="13.42578125" customWidth="1"/>
    <col min="5" max="5" width="15.28515625" customWidth="1"/>
    <col min="6" max="9" width="11.5703125" bestFit="1" customWidth="1"/>
  </cols>
  <sheetData>
    <row r="2" spans="1:16" x14ac:dyDescent="0.2">
      <c r="A2" s="6" t="s">
        <v>0</v>
      </c>
      <c r="B2" s="6" t="s">
        <v>68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81</v>
      </c>
      <c r="K2" t="s">
        <v>0</v>
      </c>
      <c r="L2" t="s">
        <v>68</v>
      </c>
      <c r="M2" t="s">
        <v>1</v>
      </c>
      <c r="N2" t="s">
        <v>2</v>
      </c>
      <c r="O2" t="s">
        <v>3</v>
      </c>
      <c r="P2" t="s">
        <v>4</v>
      </c>
    </row>
    <row r="3" spans="1:16" x14ac:dyDescent="0.2">
      <c r="A3" t="s">
        <v>5</v>
      </c>
      <c r="B3" t="s">
        <v>69</v>
      </c>
      <c r="C3" t="s">
        <v>14</v>
      </c>
      <c r="D3" s="2">
        <v>60</v>
      </c>
      <c r="E3" s="2">
        <v>0</v>
      </c>
      <c r="F3" s="2">
        <v>289.01</v>
      </c>
      <c r="G3" s="2">
        <f>+D3+E3</f>
        <v>60</v>
      </c>
      <c r="H3" s="2"/>
      <c r="I3" s="2"/>
      <c r="K3" t="s">
        <v>5</v>
      </c>
      <c r="L3" t="s">
        <v>69</v>
      </c>
      <c r="M3" t="s">
        <v>14</v>
      </c>
      <c r="N3">
        <v>60</v>
      </c>
      <c r="O3">
        <v>0</v>
      </c>
      <c r="P3">
        <v>289.01</v>
      </c>
    </row>
    <row r="4" spans="1:16" x14ac:dyDescent="0.2">
      <c r="A4" t="s">
        <v>5</v>
      </c>
      <c r="B4" t="s">
        <v>69</v>
      </c>
      <c r="C4" t="s">
        <v>16</v>
      </c>
      <c r="D4" s="2">
        <v>204</v>
      </c>
      <c r="E4" s="2">
        <v>0</v>
      </c>
      <c r="F4" s="2">
        <v>982.63</v>
      </c>
      <c r="G4" s="2">
        <f t="shared" ref="G4:G24" si="0">+D4+E4</f>
        <v>204</v>
      </c>
      <c r="H4" s="2"/>
      <c r="I4" s="2"/>
      <c r="K4" t="s">
        <v>5</v>
      </c>
      <c r="L4" t="s">
        <v>69</v>
      </c>
      <c r="M4" t="s">
        <v>16</v>
      </c>
      <c r="N4">
        <v>204</v>
      </c>
      <c r="O4">
        <v>0</v>
      </c>
      <c r="P4">
        <v>1608.34</v>
      </c>
    </row>
    <row r="5" spans="1:16" x14ac:dyDescent="0.2">
      <c r="A5" t="s">
        <v>6</v>
      </c>
      <c r="B5" t="s">
        <v>70</v>
      </c>
      <c r="C5" t="s">
        <v>11</v>
      </c>
      <c r="D5" s="2">
        <v>812</v>
      </c>
      <c r="E5" s="2">
        <v>0</v>
      </c>
      <c r="F5" s="2">
        <v>3824.33</v>
      </c>
      <c r="G5" s="2">
        <f t="shared" si="0"/>
        <v>812</v>
      </c>
      <c r="H5" s="2"/>
      <c r="I5" s="2"/>
      <c r="K5" t="s">
        <v>6</v>
      </c>
      <c r="L5" t="s">
        <v>70</v>
      </c>
      <c r="M5" t="s">
        <v>11</v>
      </c>
      <c r="N5">
        <v>812</v>
      </c>
      <c r="O5">
        <v>0</v>
      </c>
      <c r="P5">
        <v>3824.33</v>
      </c>
    </row>
    <row r="6" spans="1:16" x14ac:dyDescent="0.2">
      <c r="A6" t="s">
        <v>6</v>
      </c>
      <c r="B6" t="s">
        <v>70</v>
      </c>
      <c r="C6" t="s">
        <v>15</v>
      </c>
      <c r="D6" s="2">
        <v>806</v>
      </c>
      <c r="E6" s="2">
        <v>0</v>
      </c>
      <c r="F6" s="2">
        <v>4023.46</v>
      </c>
      <c r="G6" s="2">
        <f t="shared" si="0"/>
        <v>806</v>
      </c>
      <c r="H6" s="2"/>
      <c r="I6" s="2"/>
      <c r="K6" t="s">
        <v>6</v>
      </c>
      <c r="L6" t="s">
        <v>70</v>
      </c>
      <c r="M6" t="s">
        <v>15</v>
      </c>
      <c r="N6">
        <v>806</v>
      </c>
      <c r="O6">
        <v>0</v>
      </c>
      <c r="P6">
        <v>6142.69</v>
      </c>
    </row>
    <row r="7" spans="1:16" x14ac:dyDescent="0.2">
      <c r="A7" t="s">
        <v>6</v>
      </c>
      <c r="B7" t="s">
        <v>118</v>
      </c>
      <c r="C7" t="s">
        <v>8</v>
      </c>
      <c r="D7" s="2">
        <v>575</v>
      </c>
      <c r="E7" s="2">
        <v>0</v>
      </c>
      <c r="F7" s="2">
        <v>4432.5600000000004</v>
      </c>
      <c r="G7" s="2">
        <f t="shared" si="0"/>
        <v>575</v>
      </c>
      <c r="H7" s="2"/>
      <c r="I7" s="2"/>
      <c r="K7" t="s">
        <v>6</v>
      </c>
      <c r="L7" t="s">
        <v>71</v>
      </c>
      <c r="M7" t="s">
        <v>8</v>
      </c>
      <c r="N7">
        <v>575</v>
      </c>
      <c r="O7">
        <v>0</v>
      </c>
      <c r="P7">
        <v>4432.5600000000004</v>
      </c>
    </row>
    <row r="8" spans="1:16" x14ac:dyDescent="0.2">
      <c r="A8" t="s">
        <v>6</v>
      </c>
      <c r="B8" t="s">
        <v>69</v>
      </c>
      <c r="C8" t="s">
        <v>8</v>
      </c>
      <c r="D8" s="2">
        <v>0</v>
      </c>
      <c r="E8" s="2">
        <v>2581.84</v>
      </c>
      <c r="F8" s="2">
        <v>19902.900000000001</v>
      </c>
      <c r="G8" s="2">
        <f t="shared" si="0"/>
        <v>2581.84</v>
      </c>
      <c r="H8" s="2"/>
      <c r="I8" s="2"/>
      <c r="K8" t="s">
        <v>6</v>
      </c>
      <c r="L8" t="s">
        <v>69</v>
      </c>
      <c r="M8" t="s">
        <v>8</v>
      </c>
      <c r="N8">
        <v>0</v>
      </c>
      <c r="O8">
        <v>1485.25</v>
      </c>
      <c r="P8">
        <v>8779.5300000000007</v>
      </c>
    </row>
    <row r="9" spans="1:16" x14ac:dyDescent="0.2">
      <c r="A9" t="s">
        <v>19</v>
      </c>
      <c r="B9" t="s">
        <v>69</v>
      </c>
      <c r="C9" t="s">
        <v>11</v>
      </c>
      <c r="D9" s="2">
        <v>731</v>
      </c>
      <c r="E9" s="2">
        <v>0</v>
      </c>
      <c r="F9" s="2">
        <v>815.8</v>
      </c>
      <c r="G9" s="2">
        <f t="shared" si="0"/>
        <v>731</v>
      </c>
      <c r="H9" s="2"/>
      <c r="I9" s="2"/>
      <c r="K9" t="s">
        <v>19</v>
      </c>
      <c r="L9" t="s">
        <v>69</v>
      </c>
      <c r="M9" t="s">
        <v>11</v>
      </c>
      <c r="N9">
        <v>731</v>
      </c>
      <c r="O9">
        <v>0</v>
      </c>
      <c r="P9">
        <v>815.8</v>
      </c>
    </row>
    <row r="10" spans="1:16" x14ac:dyDescent="0.2">
      <c r="A10" t="s">
        <v>20</v>
      </c>
      <c r="B10" t="s">
        <v>69</v>
      </c>
      <c r="C10" t="s">
        <v>6</v>
      </c>
      <c r="D10" s="2">
        <v>169</v>
      </c>
      <c r="E10" s="2">
        <v>0</v>
      </c>
      <c r="F10" s="2">
        <v>0</v>
      </c>
      <c r="G10" s="2">
        <f t="shared" si="0"/>
        <v>169</v>
      </c>
      <c r="H10" s="2"/>
      <c r="I10" s="2"/>
      <c r="K10" t="s">
        <v>20</v>
      </c>
      <c r="L10" t="s">
        <v>69</v>
      </c>
      <c r="M10" t="s">
        <v>6</v>
      </c>
      <c r="N10">
        <v>169</v>
      </c>
      <c r="O10">
        <v>0</v>
      </c>
      <c r="P10">
        <v>0</v>
      </c>
    </row>
    <row r="11" spans="1:16" x14ac:dyDescent="0.2">
      <c r="A11" t="s">
        <v>20</v>
      </c>
      <c r="B11" t="s">
        <v>69</v>
      </c>
      <c r="C11" t="s">
        <v>7</v>
      </c>
      <c r="D11" s="2">
        <v>439</v>
      </c>
      <c r="E11" s="2">
        <v>0</v>
      </c>
      <c r="F11" s="2">
        <v>0</v>
      </c>
      <c r="G11" s="2">
        <f t="shared" si="0"/>
        <v>439</v>
      </c>
      <c r="H11" s="2"/>
      <c r="I11" s="2"/>
      <c r="K11" t="s">
        <v>20</v>
      </c>
      <c r="L11" t="s">
        <v>69</v>
      </c>
      <c r="M11" t="s">
        <v>7</v>
      </c>
      <c r="N11">
        <v>439</v>
      </c>
      <c r="O11">
        <v>0</v>
      </c>
      <c r="P11">
        <v>0</v>
      </c>
    </row>
    <row r="12" spans="1:16" x14ac:dyDescent="0.2">
      <c r="A12" t="s">
        <v>20</v>
      </c>
      <c r="B12" t="s">
        <v>69</v>
      </c>
      <c r="C12" t="s">
        <v>8</v>
      </c>
      <c r="D12" s="2">
        <v>58</v>
      </c>
      <c r="E12" s="2">
        <v>0</v>
      </c>
      <c r="F12" s="2">
        <v>0</v>
      </c>
      <c r="G12" s="2">
        <f t="shared" si="0"/>
        <v>58</v>
      </c>
      <c r="H12" s="2"/>
      <c r="I12" s="2"/>
      <c r="K12" t="s">
        <v>20</v>
      </c>
      <c r="L12" t="s">
        <v>69</v>
      </c>
      <c r="M12" t="s">
        <v>8</v>
      </c>
      <c r="N12">
        <v>58</v>
      </c>
      <c r="O12">
        <v>0</v>
      </c>
      <c r="P12">
        <v>0</v>
      </c>
    </row>
    <row r="13" spans="1:16" x14ac:dyDescent="0.2">
      <c r="A13" t="s">
        <v>20</v>
      </c>
      <c r="B13" t="s">
        <v>69</v>
      </c>
      <c r="C13" t="s">
        <v>9</v>
      </c>
      <c r="D13" s="2">
        <v>97</v>
      </c>
      <c r="E13" s="2">
        <v>0</v>
      </c>
      <c r="F13" s="2">
        <v>0</v>
      </c>
      <c r="G13" s="2">
        <f t="shared" si="0"/>
        <v>97</v>
      </c>
      <c r="H13" s="2"/>
      <c r="I13" s="2"/>
      <c r="K13" t="s">
        <v>20</v>
      </c>
      <c r="L13" t="s">
        <v>69</v>
      </c>
      <c r="M13" t="s">
        <v>9</v>
      </c>
      <c r="N13">
        <v>97</v>
      </c>
      <c r="O13">
        <v>0</v>
      </c>
      <c r="P13">
        <v>0</v>
      </c>
    </row>
    <row r="14" spans="1:16" x14ac:dyDescent="0.2">
      <c r="A14" t="s">
        <v>20</v>
      </c>
      <c r="B14" t="s">
        <v>69</v>
      </c>
      <c r="C14" t="s">
        <v>10</v>
      </c>
      <c r="D14" s="2">
        <v>203</v>
      </c>
      <c r="E14" s="2">
        <v>0</v>
      </c>
      <c r="F14" s="2">
        <v>0</v>
      </c>
      <c r="G14" s="2">
        <f t="shared" si="0"/>
        <v>203</v>
      </c>
      <c r="H14" s="2"/>
      <c r="I14" s="2"/>
      <c r="K14" t="s">
        <v>20</v>
      </c>
      <c r="L14" t="s">
        <v>69</v>
      </c>
      <c r="M14" t="s">
        <v>10</v>
      </c>
      <c r="N14">
        <v>203</v>
      </c>
      <c r="O14">
        <v>0</v>
      </c>
      <c r="P14">
        <v>0</v>
      </c>
    </row>
    <row r="15" spans="1:16" x14ac:dyDescent="0.2">
      <c r="A15" t="s">
        <v>20</v>
      </c>
      <c r="B15" t="s">
        <v>69</v>
      </c>
      <c r="C15" t="s">
        <v>11</v>
      </c>
      <c r="D15" s="2">
        <v>700</v>
      </c>
      <c r="E15" s="2">
        <v>0</v>
      </c>
      <c r="F15" s="2">
        <v>772.8</v>
      </c>
      <c r="G15" s="2">
        <f t="shared" si="0"/>
        <v>700</v>
      </c>
      <c r="H15" s="2"/>
      <c r="I15" s="2"/>
      <c r="K15" t="s">
        <v>20</v>
      </c>
      <c r="L15" t="s">
        <v>69</v>
      </c>
      <c r="M15" t="s">
        <v>11</v>
      </c>
      <c r="N15">
        <v>700</v>
      </c>
      <c r="O15">
        <v>0</v>
      </c>
      <c r="P15">
        <v>772.8</v>
      </c>
    </row>
    <row r="16" spans="1:16" x14ac:dyDescent="0.2">
      <c r="A16" t="s">
        <v>20</v>
      </c>
      <c r="B16" t="s">
        <v>69</v>
      </c>
      <c r="C16" t="s">
        <v>12</v>
      </c>
      <c r="D16" s="2">
        <v>71</v>
      </c>
      <c r="E16" s="2">
        <v>0</v>
      </c>
      <c r="F16" s="2">
        <v>0</v>
      </c>
      <c r="G16" s="2">
        <f t="shared" si="0"/>
        <v>71</v>
      </c>
      <c r="H16" s="2"/>
      <c r="I16" s="2"/>
      <c r="K16" t="s">
        <v>20</v>
      </c>
      <c r="L16" t="s">
        <v>69</v>
      </c>
      <c r="M16" t="s">
        <v>12</v>
      </c>
      <c r="N16">
        <v>71</v>
      </c>
      <c r="O16">
        <v>0</v>
      </c>
      <c r="P16">
        <v>0</v>
      </c>
    </row>
    <row r="17" spans="1:16" x14ac:dyDescent="0.2">
      <c r="A17" t="s">
        <v>20</v>
      </c>
      <c r="B17" t="s">
        <v>69</v>
      </c>
      <c r="C17" t="s">
        <v>13</v>
      </c>
      <c r="D17" s="2">
        <v>368</v>
      </c>
      <c r="E17" s="2">
        <v>0</v>
      </c>
      <c r="F17" s="2">
        <v>0</v>
      </c>
      <c r="G17" s="2">
        <f t="shared" si="0"/>
        <v>368</v>
      </c>
      <c r="H17" s="2"/>
      <c r="I17" s="2"/>
      <c r="K17" t="s">
        <v>20</v>
      </c>
      <c r="L17" t="s">
        <v>69</v>
      </c>
      <c r="M17" t="s">
        <v>13</v>
      </c>
      <c r="N17">
        <v>368</v>
      </c>
      <c r="O17">
        <v>0</v>
      </c>
      <c r="P17">
        <v>0</v>
      </c>
    </row>
    <row r="18" spans="1:16" x14ac:dyDescent="0.2">
      <c r="A18" t="s">
        <v>20</v>
      </c>
      <c r="B18" t="s">
        <v>69</v>
      </c>
      <c r="C18" t="s">
        <v>14</v>
      </c>
      <c r="D18" s="2">
        <v>134</v>
      </c>
      <c r="E18" s="2">
        <v>0</v>
      </c>
      <c r="F18" s="2">
        <v>0</v>
      </c>
      <c r="G18" s="2">
        <f t="shared" si="0"/>
        <v>134</v>
      </c>
      <c r="H18" s="2"/>
      <c r="I18" s="2"/>
      <c r="K18" t="s">
        <v>20</v>
      </c>
      <c r="L18" t="s">
        <v>69</v>
      </c>
      <c r="M18" t="s">
        <v>14</v>
      </c>
      <c r="N18">
        <v>134</v>
      </c>
      <c r="O18">
        <v>0</v>
      </c>
      <c r="P18">
        <v>0</v>
      </c>
    </row>
    <row r="19" spans="1:16" x14ac:dyDescent="0.2">
      <c r="A19" t="s">
        <v>20</v>
      </c>
      <c r="B19" t="s">
        <v>69</v>
      </c>
      <c r="C19" t="s">
        <v>16</v>
      </c>
      <c r="D19" s="2">
        <v>1043</v>
      </c>
      <c r="E19" s="2">
        <v>0</v>
      </c>
      <c r="F19" s="2">
        <v>1151.47</v>
      </c>
      <c r="G19" s="2">
        <f t="shared" si="0"/>
        <v>1043</v>
      </c>
      <c r="H19" s="2"/>
      <c r="I19" s="2"/>
      <c r="K19" t="s">
        <v>20</v>
      </c>
      <c r="L19" t="s">
        <v>69</v>
      </c>
      <c r="M19" t="s">
        <v>16</v>
      </c>
      <c r="N19">
        <v>1043</v>
      </c>
      <c r="O19">
        <v>0</v>
      </c>
      <c r="P19">
        <v>1151.47</v>
      </c>
    </row>
    <row r="20" spans="1:16" x14ac:dyDescent="0.2">
      <c r="A20" t="s">
        <v>20</v>
      </c>
      <c r="B20" t="s">
        <v>69</v>
      </c>
      <c r="C20" t="s">
        <v>17</v>
      </c>
      <c r="D20" s="2">
        <v>135</v>
      </c>
      <c r="E20" s="2">
        <v>0</v>
      </c>
      <c r="F20" s="2">
        <v>0</v>
      </c>
      <c r="G20" s="2">
        <f t="shared" si="0"/>
        <v>135</v>
      </c>
      <c r="H20" s="2"/>
      <c r="I20" s="2"/>
      <c r="K20" t="s">
        <v>20</v>
      </c>
      <c r="L20" t="s">
        <v>69</v>
      </c>
      <c r="M20" t="s">
        <v>17</v>
      </c>
      <c r="N20">
        <v>135</v>
      </c>
      <c r="O20">
        <v>0</v>
      </c>
      <c r="P20">
        <v>0</v>
      </c>
    </row>
    <row r="21" spans="1:16" x14ac:dyDescent="0.2">
      <c r="A21" t="s">
        <v>20</v>
      </c>
      <c r="B21" t="s">
        <v>69</v>
      </c>
      <c r="C21" t="s">
        <v>18</v>
      </c>
      <c r="D21" s="2">
        <v>139</v>
      </c>
      <c r="E21" s="2">
        <v>0</v>
      </c>
      <c r="F21" s="2">
        <v>94.33</v>
      </c>
      <c r="G21" s="2">
        <f t="shared" si="0"/>
        <v>139</v>
      </c>
      <c r="H21" s="2"/>
      <c r="I21" s="2"/>
      <c r="K21" t="s">
        <v>20</v>
      </c>
      <c r="L21" t="s">
        <v>69</v>
      </c>
      <c r="M21" t="s">
        <v>18</v>
      </c>
      <c r="N21">
        <v>139</v>
      </c>
      <c r="O21">
        <v>0</v>
      </c>
      <c r="P21">
        <v>52.33</v>
      </c>
    </row>
    <row r="22" spans="1:16" x14ac:dyDescent="0.2">
      <c r="A22" t="s">
        <v>21</v>
      </c>
      <c r="B22" t="s">
        <v>69</v>
      </c>
      <c r="C22" t="s">
        <v>16</v>
      </c>
      <c r="D22" s="2">
        <v>5571</v>
      </c>
      <c r="E22" s="2">
        <v>0</v>
      </c>
      <c r="F22" s="2">
        <v>29281.18</v>
      </c>
      <c r="G22" s="2">
        <f t="shared" si="0"/>
        <v>5571</v>
      </c>
      <c r="H22" s="2"/>
      <c r="I22" s="2"/>
      <c r="K22" t="s">
        <v>21</v>
      </c>
      <c r="L22" t="s">
        <v>69</v>
      </c>
      <c r="M22" t="s">
        <v>16</v>
      </c>
      <c r="N22">
        <v>5571</v>
      </c>
      <c r="O22">
        <v>1500</v>
      </c>
      <c r="P22">
        <v>37165.18</v>
      </c>
    </row>
    <row r="23" spans="1:16" x14ac:dyDescent="0.2">
      <c r="A23" t="s">
        <v>114</v>
      </c>
      <c r="B23" t="s">
        <v>69</v>
      </c>
      <c r="C23" t="s">
        <v>10</v>
      </c>
      <c r="D23" s="2">
        <v>192</v>
      </c>
      <c r="E23" s="2">
        <v>0</v>
      </c>
      <c r="F23" s="2">
        <v>420.48</v>
      </c>
      <c r="G23" s="2">
        <f t="shared" si="0"/>
        <v>192</v>
      </c>
      <c r="H23" s="2"/>
      <c r="I23" s="2"/>
      <c r="K23" t="s">
        <v>22</v>
      </c>
      <c r="L23" t="s">
        <v>69</v>
      </c>
      <c r="M23" t="s">
        <v>10</v>
      </c>
      <c r="N23">
        <v>192</v>
      </c>
      <c r="O23">
        <v>0</v>
      </c>
      <c r="P23">
        <v>420.48</v>
      </c>
    </row>
    <row r="24" spans="1:16" x14ac:dyDescent="0.2">
      <c r="A24" t="s">
        <v>115</v>
      </c>
      <c r="B24" t="s">
        <v>69</v>
      </c>
      <c r="C24" t="s">
        <v>8</v>
      </c>
      <c r="D24" s="2">
        <v>200</v>
      </c>
      <c r="E24" s="2">
        <v>0</v>
      </c>
      <c r="F24" s="2">
        <v>438</v>
      </c>
      <c r="G24" s="2">
        <f t="shared" si="0"/>
        <v>200</v>
      </c>
      <c r="H24" s="2"/>
      <c r="I24" s="2"/>
    </row>
    <row r="25" spans="1:16" x14ac:dyDescent="0.2">
      <c r="D25" s="2"/>
      <c r="E25" s="2"/>
      <c r="F25" s="27">
        <f>+SUM(F3:F24)</f>
        <v>66428.95</v>
      </c>
      <c r="G25" s="27">
        <f>+SUM(G3:G24)</f>
        <v>15288.84</v>
      </c>
      <c r="H25" s="2"/>
      <c r="I25" s="2"/>
    </row>
    <row r="26" spans="1:16" x14ac:dyDescent="0.2">
      <c r="D26" s="2"/>
      <c r="E26" s="2"/>
      <c r="F26" s="2"/>
      <c r="G26" s="2"/>
      <c r="H26" s="2"/>
      <c r="I26" s="2"/>
    </row>
    <row r="27" spans="1:16" x14ac:dyDescent="0.2">
      <c r="A27" s="6" t="s">
        <v>72</v>
      </c>
      <c r="B27" s="6" t="s">
        <v>73</v>
      </c>
      <c r="C27" s="6" t="s">
        <v>74</v>
      </c>
      <c r="D27" s="11" t="s">
        <v>75</v>
      </c>
      <c r="E27" s="2"/>
      <c r="F27" s="2"/>
      <c r="G27" s="2"/>
      <c r="H27" s="2"/>
      <c r="I27" s="2"/>
    </row>
    <row r="28" spans="1:16" x14ac:dyDescent="0.2">
      <c r="A28" s="2">
        <v>66.430000000000007</v>
      </c>
      <c r="B28" s="2">
        <v>180.77</v>
      </c>
      <c r="C28" s="2">
        <v>54.25</v>
      </c>
      <c r="D28" s="2">
        <v>27174.05</v>
      </c>
      <c r="E28" s="2"/>
      <c r="F28" s="2"/>
      <c r="G28" s="2"/>
      <c r="H28" s="2"/>
      <c r="I28" s="2"/>
    </row>
    <row r="29" spans="1:16" x14ac:dyDescent="0.2">
      <c r="A29" s="11" t="s">
        <v>93</v>
      </c>
      <c r="B29" s="11" t="s">
        <v>87</v>
      </c>
      <c r="C29" s="11" t="s">
        <v>88</v>
      </c>
      <c r="D29" s="11" t="s">
        <v>89</v>
      </c>
      <c r="E29" s="31" t="s">
        <v>121</v>
      </c>
      <c r="F29" s="2"/>
      <c r="G29" s="2"/>
      <c r="H29" s="2"/>
      <c r="I29" s="2"/>
    </row>
    <row r="30" spans="1:16" x14ac:dyDescent="0.2">
      <c r="A30" s="2">
        <v>41863072.789999999</v>
      </c>
      <c r="B30" s="2">
        <v>51822613.75</v>
      </c>
      <c r="C30" s="2">
        <v>12069139.23</v>
      </c>
      <c r="D30" s="2">
        <v>0</v>
      </c>
      <c r="E30" s="2">
        <v>2160313400</v>
      </c>
      <c r="F30" s="2"/>
      <c r="G30" s="2"/>
      <c r="H30" s="2"/>
      <c r="I30" s="2"/>
    </row>
    <row r="31" spans="1:16" x14ac:dyDescent="0.2">
      <c r="D31" s="2"/>
      <c r="E31" s="2"/>
      <c r="F31" s="2"/>
      <c r="G31" s="2"/>
      <c r="H31" s="2"/>
      <c r="I31" s="2"/>
    </row>
    <row r="32" spans="1:16" x14ac:dyDescent="0.2">
      <c r="D32" s="2"/>
      <c r="E32" s="2"/>
      <c r="F32" s="2"/>
      <c r="G32" s="2"/>
      <c r="H32" s="2"/>
      <c r="I32" s="2"/>
    </row>
    <row r="33" spans="1:9" x14ac:dyDescent="0.2">
      <c r="D33" s="2"/>
      <c r="E33" s="2"/>
      <c r="F33" s="2"/>
      <c r="G33" s="2"/>
      <c r="H33" s="2"/>
      <c r="I33" s="2"/>
    </row>
    <row r="34" spans="1:9" x14ac:dyDescent="0.2">
      <c r="A34" s="6"/>
      <c r="B34" s="6"/>
      <c r="C34" s="6"/>
      <c r="D34" s="11"/>
      <c r="E34" s="11"/>
      <c r="F34" s="6" t="s">
        <v>4</v>
      </c>
      <c r="G34" s="6" t="s">
        <v>81</v>
      </c>
      <c r="H34" s="2"/>
      <c r="I34" s="2"/>
    </row>
    <row r="35" spans="1:9" x14ac:dyDescent="0.2">
      <c r="A35" t="s">
        <v>28</v>
      </c>
      <c r="D35" s="2"/>
      <c r="E35" s="2"/>
      <c r="F35" s="2">
        <f>+F3+F4</f>
        <v>1271.6399999999999</v>
      </c>
      <c r="G35" s="2">
        <f>+G3+G4</f>
        <v>264</v>
      </c>
      <c r="H35" s="2"/>
      <c r="I35" s="2"/>
    </row>
    <row r="36" spans="1:9" x14ac:dyDescent="0.2">
      <c r="A36" t="s">
        <v>31</v>
      </c>
      <c r="D36" s="2"/>
      <c r="E36" s="2"/>
      <c r="F36" s="2">
        <f>+SUM(F5:F8)</f>
        <v>32183.25</v>
      </c>
      <c r="G36" s="2">
        <f>+SUM(G5:G8)</f>
        <v>4774.84</v>
      </c>
      <c r="H36" s="2"/>
      <c r="I36" s="2"/>
    </row>
    <row r="37" spans="1:9" x14ac:dyDescent="0.2">
      <c r="A37" t="s">
        <v>37</v>
      </c>
      <c r="D37" s="2"/>
      <c r="E37" s="2"/>
      <c r="F37" s="2">
        <f>+F9</f>
        <v>815.8</v>
      </c>
      <c r="G37" s="2">
        <f>+G9</f>
        <v>731</v>
      </c>
      <c r="H37" s="2"/>
      <c r="I37" s="2"/>
    </row>
    <row r="38" spans="1:9" x14ac:dyDescent="0.2">
      <c r="A38" t="s">
        <v>38</v>
      </c>
      <c r="D38" s="2"/>
      <c r="E38" s="2"/>
      <c r="F38" s="2">
        <f>+SUM(F10:F21)</f>
        <v>2018.6</v>
      </c>
      <c r="G38" s="2">
        <f>+SUM(G10:G21)</f>
        <v>3556</v>
      </c>
      <c r="H38" s="2"/>
      <c r="I38" s="2"/>
    </row>
    <row r="39" spans="1:9" x14ac:dyDescent="0.2">
      <c r="A39" t="s">
        <v>45</v>
      </c>
      <c r="D39" s="2"/>
      <c r="E39" s="2"/>
      <c r="F39" s="2">
        <f t="shared" ref="F39:G41" si="1">+F22</f>
        <v>29281.18</v>
      </c>
      <c r="G39" s="2">
        <f t="shared" si="1"/>
        <v>5571</v>
      </c>
      <c r="H39" s="2"/>
      <c r="I39" s="2"/>
    </row>
    <row r="40" spans="1:9" x14ac:dyDescent="0.2">
      <c r="A40" t="s">
        <v>46</v>
      </c>
      <c r="D40" s="2"/>
      <c r="E40" s="2"/>
      <c r="F40" s="2">
        <f t="shared" si="1"/>
        <v>420.48</v>
      </c>
      <c r="G40" s="2">
        <f t="shared" si="1"/>
        <v>192</v>
      </c>
      <c r="H40" s="2"/>
      <c r="I40" s="2"/>
    </row>
    <row r="41" spans="1:9" x14ac:dyDescent="0.2">
      <c r="A41" t="s">
        <v>47</v>
      </c>
      <c r="D41" s="2"/>
      <c r="E41" s="2"/>
      <c r="F41" s="2">
        <f t="shared" si="1"/>
        <v>438</v>
      </c>
      <c r="G41" s="2">
        <f t="shared" si="1"/>
        <v>200</v>
      </c>
      <c r="H41" s="2"/>
      <c r="I41" s="2"/>
    </row>
    <row r="42" spans="1:9" x14ac:dyDescent="0.2">
      <c r="A42" t="s">
        <v>48</v>
      </c>
      <c r="D42" s="2"/>
      <c r="E42" s="2"/>
      <c r="H42" s="2"/>
      <c r="I42" s="2"/>
    </row>
    <row r="43" spans="1:9" x14ac:dyDescent="0.2">
      <c r="A43" t="s">
        <v>49</v>
      </c>
      <c r="D43" s="2"/>
      <c r="E43" s="2"/>
      <c r="F43" s="2"/>
      <c r="G43" s="2"/>
      <c r="H43" s="2"/>
      <c r="I43" s="2"/>
    </row>
    <row r="44" spans="1:9" x14ac:dyDescent="0.2">
      <c r="A44" t="s">
        <v>50</v>
      </c>
      <c r="D44" s="2"/>
      <c r="E44" s="2"/>
      <c r="F44" s="2"/>
      <c r="G44" s="2"/>
      <c r="H44" s="2"/>
      <c r="I44" s="2"/>
    </row>
    <row r="45" spans="1:9" x14ac:dyDescent="0.2">
      <c r="D45" s="2"/>
      <c r="E45" s="2"/>
      <c r="F45" s="2">
        <f>+SUM(F35:F44)</f>
        <v>66428.95</v>
      </c>
      <c r="G45" s="2">
        <f>+SUM(G35:G44)</f>
        <v>15288.84</v>
      </c>
      <c r="H45" s="2"/>
      <c r="I45" s="2"/>
    </row>
    <row r="46" spans="1:9" x14ac:dyDescent="0.2">
      <c r="A46" t="s">
        <v>52</v>
      </c>
      <c r="D46" s="2"/>
      <c r="E46" s="2"/>
      <c r="F46" s="2"/>
      <c r="G46" s="2"/>
      <c r="H46" s="2"/>
      <c r="I46" s="2"/>
    </row>
    <row r="47" spans="1:9" x14ac:dyDescent="0.2">
      <c r="D47" s="2"/>
      <c r="E47" s="2"/>
      <c r="F47" s="2"/>
      <c r="G47" s="2"/>
      <c r="H47" s="2"/>
      <c r="I47" s="2"/>
    </row>
    <row r="48" spans="1:9" x14ac:dyDescent="0.2">
      <c r="D48" s="2"/>
      <c r="E48" s="2"/>
      <c r="F48" s="2"/>
      <c r="G48" s="2"/>
      <c r="H48" s="2"/>
      <c r="I48" s="2"/>
    </row>
    <row r="49" spans="1:18" x14ac:dyDescent="0.2">
      <c r="D49" s="2"/>
      <c r="E49" s="2"/>
      <c r="F49" s="2"/>
      <c r="G49" s="2"/>
      <c r="H49" s="2"/>
      <c r="I49" s="2"/>
    </row>
    <row r="50" spans="1:18" x14ac:dyDescent="0.2">
      <c r="A50" s="22" t="s">
        <v>96</v>
      </c>
      <c r="B50" s="24" t="s">
        <v>95</v>
      </c>
      <c r="C50" s="24"/>
      <c r="D50" s="23">
        <v>0.5</v>
      </c>
      <c r="E50" s="2"/>
      <c r="F50" s="2"/>
      <c r="G50" s="2"/>
      <c r="H50" s="25" t="s">
        <v>111</v>
      </c>
      <c r="I50" s="2"/>
    </row>
    <row r="51" spans="1:18" x14ac:dyDescent="0.2">
      <c r="D51" s="2"/>
      <c r="E51" s="2"/>
      <c r="F51" s="2"/>
      <c r="G51" s="2"/>
      <c r="H51" s="25" t="s">
        <v>112</v>
      </c>
      <c r="I51" s="2"/>
    </row>
    <row r="52" spans="1:18" x14ac:dyDescent="0.2">
      <c r="A52" s="4" t="s">
        <v>105</v>
      </c>
      <c r="B52" s="10"/>
      <c r="C52" s="10"/>
      <c r="D52" s="10"/>
      <c r="E52" s="2"/>
      <c r="F52" s="2"/>
      <c r="G52" s="2"/>
    </row>
    <row r="53" spans="1:18" x14ac:dyDescent="0.2">
      <c r="B53" s="10"/>
      <c r="C53" s="10"/>
      <c r="D53" s="10"/>
      <c r="E53" s="14"/>
      <c r="F53" s="14"/>
      <c r="G53" s="14"/>
      <c r="H53" s="21"/>
      <c r="J53" s="20"/>
    </row>
    <row r="54" spans="1:18" x14ac:dyDescent="0.2">
      <c r="D54" s="2"/>
      <c r="E54" s="2"/>
      <c r="F54" s="2"/>
      <c r="G54" s="2"/>
      <c r="H54" s="2"/>
      <c r="I54" s="2"/>
    </row>
    <row r="55" spans="1:18" x14ac:dyDescent="0.2">
      <c r="B55">
        <v>40</v>
      </c>
      <c r="C55" s="2">
        <v>49</v>
      </c>
      <c r="D55" s="2">
        <v>64</v>
      </c>
      <c r="E55" s="2"/>
      <c r="F55" s="2"/>
      <c r="G55" s="2"/>
      <c r="H55" s="2"/>
    </row>
    <row r="56" spans="1:18" x14ac:dyDescent="0.2">
      <c r="B56" s="28" t="s">
        <v>119</v>
      </c>
      <c r="C56" s="30" t="s">
        <v>120</v>
      </c>
      <c r="D56" s="14" t="s">
        <v>77</v>
      </c>
      <c r="E56" s="14" t="s">
        <v>77</v>
      </c>
      <c r="F56" s="14" t="s">
        <v>77</v>
      </c>
      <c r="G56" s="14" t="s">
        <v>77</v>
      </c>
      <c r="H56" s="14" t="s">
        <v>77</v>
      </c>
      <c r="I56" s="10" t="s">
        <v>77</v>
      </c>
      <c r="J56" s="10" t="s">
        <v>77</v>
      </c>
      <c r="K56" s="10" t="s">
        <v>77</v>
      </c>
      <c r="L56" s="10" t="s">
        <v>77</v>
      </c>
      <c r="M56" s="10" t="s">
        <v>77</v>
      </c>
    </row>
    <row r="57" spans="1:18" ht="15.75" x14ac:dyDescent="0.3">
      <c r="A57" s="6" t="s">
        <v>26</v>
      </c>
      <c r="B57" s="12" t="s">
        <v>78</v>
      </c>
      <c r="C57" s="15" t="s">
        <v>79</v>
      </c>
      <c r="D57" s="15" t="s">
        <v>80</v>
      </c>
      <c r="E57" s="15" t="s">
        <v>61</v>
      </c>
      <c r="F57" s="15" t="s">
        <v>62</v>
      </c>
      <c r="G57" s="15" t="s">
        <v>28</v>
      </c>
      <c r="H57" s="15" t="s">
        <v>45</v>
      </c>
      <c r="I57" s="12" t="s">
        <v>46</v>
      </c>
      <c r="J57" s="12" t="s">
        <v>47</v>
      </c>
      <c r="K57" s="12" t="s">
        <v>48</v>
      </c>
      <c r="L57" s="12" t="s">
        <v>49</v>
      </c>
      <c r="M57" s="12" t="s">
        <v>63</v>
      </c>
    </row>
    <row r="58" spans="1:18" x14ac:dyDescent="0.2">
      <c r="B58" s="10"/>
      <c r="C58" s="14"/>
      <c r="D58" s="14"/>
      <c r="E58" s="14"/>
      <c r="F58" s="14"/>
      <c r="G58" s="14"/>
      <c r="H58" s="14"/>
      <c r="I58" s="10"/>
    </row>
    <row r="59" spans="1:18" x14ac:dyDescent="0.2">
      <c r="A59" t="s">
        <v>32</v>
      </c>
      <c r="B59" s="14"/>
      <c r="C59" s="14"/>
      <c r="D59" s="14"/>
      <c r="E59" s="14"/>
      <c r="F59" s="14">
        <f>+VLOOKUP($R59,$C$10:$G$21,5,0)</f>
        <v>439</v>
      </c>
      <c r="G59" s="14"/>
      <c r="H59" s="14"/>
      <c r="I59" s="14"/>
      <c r="J59" s="2"/>
      <c r="K59" s="2"/>
      <c r="L59" s="2"/>
      <c r="M59" s="2"/>
      <c r="R59" s="1" t="s">
        <v>7</v>
      </c>
    </row>
    <row r="60" spans="1:18" x14ac:dyDescent="0.2">
      <c r="A60" t="s">
        <v>39</v>
      </c>
      <c r="B60" s="14"/>
      <c r="C60" s="14"/>
      <c r="D60" s="14"/>
      <c r="E60" s="14"/>
      <c r="F60" s="14">
        <f t="shared" ref="F60:F67" si="2">+VLOOKUP($R60,$C$10:$G$21,5,0)</f>
        <v>169</v>
      </c>
      <c r="G60" s="14"/>
      <c r="H60" s="14"/>
      <c r="I60" s="14"/>
      <c r="J60" s="2"/>
      <c r="K60" s="2"/>
      <c r="L60" s="2"/>
      <c r="M60" s="2"/>
      <c r="R60" t="s">
        <v>6</v>
      </c>
    </row>
    <row r="61" spans="1:18" x14ac:dyDescent="0.2">
      <c r="A61" t="s">
        <v>33</v>
      </c>
      <c r="B61" s="14"/>
      <c r="C61" s="14">
        <f>+G7</f>
        <v>575</v>
      </c>
      <c r="D61" s="14">
        <f>+G8</f>
        <v>2581.84</v>
      </c>
      <c r="F61" s="14">
        <f t="shared" si="2"/>
        <v>58</v>
      </c>
      <c r="G61" s="14"/>
      <c r="H61" s="14"/>
      <c r="I61" s="14"/>
      <c r="J61" s="2">
        <f>+G24</f>
        <v>200</v>
      </c>
      <c r="K61" s="2"/>
      <c r="L61" s="2"/>
      <c r="M61" s="2"/>
      <c r="R61" s="1" t="s">
        <v>8</v>
      </c>
    </row>
    <row r="62" spans="1:18" x14ac:dyDescent="0.2">
      <c r="A62" t="s">
        <v>41</v>
      </c>
      <c r="B62" s="14"/>
      <c r="C62" s="14"/>
      <c r="D62" s="14"/>
      <c r="E62" s="14"/>
      <c r="F62" s="14">
        <f t="shared" si="2"/>
        <v>97</v>
      </c>
      <c r="G62" s="14"/>
      <c r="H62" s="14"/>
      <c r="I62" s="14"/>
      <c r="J62" s="2"/>
      <c r="K62" s="2"/>
      <c r="L62" s="2"/>
      <c r="M62" s="2"/>
      <c r="R62" s="1" t="s">
        <v>9</v>
      </c>
    </row>
    <row r="63" spans="1:18" x14ac:dyDescent="0.2">
      <c r="A63" t="s">
        <v>40</v>
      </c>
      <c r="B63" s="14"/>
      <c r="C63" s="14"/>
      <c r="D63" s="14"/>
      <c r="E63" s="14"/>
      <c r="F63" s="14">
        <f t="shared" si="2"/>
        <v>203</v>
      </c>
      <c r="G63" s="14"/>
      <c r="H63" s="14"/>
      <c r="I63" s="14">
        <f>+G23</f>
        <v>192</v>
      </c>
      <c r="J63" s="2"/>
      <c r="K63" s="2"/>
      <c r="L63" s="2"/>
      <c r="M63" s="2"/>
      <c r="R63" s="1" t="s">
        <v>10</v>
      </c>
    </row>
    <row r="64" spans="1:18" x14ac:dyDescent="0.2">
      <c r="A64" t="s">
        <v>34</v>
      </c>
      <c r="B64" s="14">
        <f>+G5</f>
        <v>812</v>
      </c>
      <c r="C64" s="14"/>
      <c r="D64" s="14"/>
      <c r="E64" s="14">
        <f>+G9</f>
        <v>731</v>
      </c>
      <c r="F64" s="14">
        <f t="shared" si="2"/>
        <v>700</v>
      </c>
      <c r="G64" s="14"/>
      <c r="H64" s="14"/>
      <c r="I64" s="14"/>
      <c r="J64" s="2"/>
      <c r="K64" s="2"/>
      <c r="L64" s="2"/>
      <c r="M64" s="2"/>
      <c r="R64" s="1" t="s">
        <v>11</v>
      </c>
    </row>
    <row r="65" spans="1:18" x14ac:dyDescent="0.2">
      <c r="A65" t="s">
        <v>42</v>
      </c>
      <c r="B65" s="14"/>
      <c r="C65" s="14"/>
      <c r="D65" s="14"/>
      <c r="E65" s="14"/>
      <c r="F65" s="14">
        <f t="shared" si="2"/>
        <v>71</v>
      </c>
      <c r="G65" s="14"/>
      <c r="H65" s="14"/>
      <c r="I65" s="14"/>
      <c r="J65" s="2"/>
      <c r="K65" s="2"/>
      <c r="L65" s="2"/>
      <c r="M65" s="2"/>
      <c r="R65" s="1" t="s">
        <v>12</v>
      </c>
    </row>
    <row r="66" spans="1:18" x14ac:dyDescent="0.2">
      <c r="A66" t="s">
        <v>35</v>
      </c>
      <c r="B66" s="14"/>
      <c r="C66" s="14"/>
      <c r="D66" s="14"/>
      <c r="E66" s="14"/>
      <c r="F66" s="14">
        <f t="shared" si="2"/>
        <v>368</v>
      </c>
      <c r="G66" s="14"/>
      <c r="H66" s="14"/>
      <c r="I66" s="14"/>
      <c r="J66" s="2"/>
      <c r="K66" s="2"/>
      <c r="L66" s="2"/>
      <c r="M66" s="2"/>
      <c r="R66" s="1" t="s">
        <v>13</v>
      </c>
    </row>
    <row r="67" spans="1:18" x14ac:dyDescent="0.2">
      <c r="A67" t="s">
        <v>29</v>
      </c>
      <c r="B67" s="14"/>
      <c r="C67" s="14"/>
      <c r="D67" s="14"/>
      <c r="E67" s="14"/>
      <c r="F67" s="14">
        <f t="shared" si="2"/>
        <v>134</v>
      </c>
      <c r="G67" s="14">
        <f>+G3</f>
        <v>60</v>
      </c>
      <c r="H67" s="14"/>
      <c r="I67" s="14"/>
      <c r="J67" s="2"/>
      <c r="K67" s="2"/>
      <c r="L67" s="2"/>
      <c r="M67" s="2"/>
      <c r="R67" s="1" t="s">
        <v>14</v>
      </c>
    </row>
    <row r="68" spans="1:18" x14ac:dyDescent="0.2">
      <c r="A68" t="s">
        <v>36</v>
      </c>
      <c r="B68" s="14">
        <f>+G6</f>
        <v>806</v>
      </c>
      <c r="C68" s="14"/>
      <c r="D68" s="14"/>
      <c r="E68" s="14"/>
      <c r="F68" s="14" t="s">
        <v>54</v>
      </c>
      <c r="G68" s="14"/>
      <c r="H68" s="14"/>
      <c r="I68" s="14"/>
      <c r="J68" s="2"/>
      <c r="K68" s="2"/>
      <c r="L68" s="2"/>
      <c r="M68" s="2"/>
      <c r="R68" s="1" t="s">
        <v>15</v>
      </c>
    </row>
    <row r="69" spans="1:18" x14ac:dyDescent="0.2">
      <c r="A69" t="s">
        <v>30</v>
      </c>
      <c r="B69" s="14"/>
      <c r="C69" s="14"/>
      <c r="D69" s="14"/>
      <c r="E69" s="14"/>
      <c r="F69" s="14">
        <f>+VLOOKUP($R69,$C$10:$G$21,5,0)</f>
        <v>1043</v>
      </c>
      <c r="G69" s="14">
        <f>+G4</f>
        <v>204</v>
      </c>
      <c r="H69" s="14">
        <f>+G22</f>
        <v>5571</v>
      </c>
      <c r="I69" s="2"/>
      <c r="J69" s="2"/>
      <c r="K69" s="2"/>
      <c r="L69" s="2"/>
      <c r="M69" s="2"/>
      <c r="R69" s="1" t="s">
        <v>16</v>
      </c>
    </row>
    <row r="70" spans="1:18" x14ac:dyDescent="0.2">
      <c r="A70" t="s">
        <v>43</v>
      </c>
      <c r="B70" s="14"/>
      <c r="C70" s="14"/>
      <c r="D70" s="14"/>
      <c r="E70" s="14"/>
      <c r="F70" s="14">
        <f>+VLOOKUP($R70,$C$10:$G$21,5,0)</f>
        <v>135</v>
      </c>
      <c r="G70" s="14"/>
      <c r="H70" s="14"/>
      <c r="I70" s="14"/>
      <c r="J70" s="2"/>
      <c r="K70" s="2"/>
      <c r="L70" s="2"/>
      <c r="M70" s="2"/>
      <c r="R70" s="1" t="s">
        <v>17</v>
      </c>
    </row>
    <row r="71" spans="1:18" x14ac:dyDescent="0.2">
      <c r="A71" t="s">
        <v>44</v>
      </c>
      <c r="B71" s="14"/>
      <c r="C71" s="14"/>
      <c r="D71" s="14"/>
      <c r="E71" s="14"/>
      <c r="F71" s="14">
        <f>+VLOOKUP($R71,$C$10:$G$21,5,0)</f>
        <v>139</v>
      </c>
      <c r="G71" s="14"/>
      <c r="H71" s="14"/>
      <c r="I71" s="14"/>
      <c r="J71" s="2"/>
      <c r="K71" s="2"/>
      <c r="L71" s="2"/>
      <c r="M71" s="2"/>
      <c r="R71" s="1" t="s">
        <v>18</v>
      </c>
    </row>
    <row r="72" spans="1:18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8" x14ac:dyDescent="0.2">
      <c r="A73" t="s">
        <v>52</v>
      </c>
      <c r="B73" s="2">
        <f t="shared" ref="B73:M73" si="3">+SUM(B59:B71)</f>
        <v>1618</v>
      </c>
      <c r="C73" s="2">
        <f t="shared" si="3"/>
        <v>575</v>
      </c>
      <c r="D73" s="2">
        <f t="shared" si="3"/>
        <v>2581.84</v>
      </c>
      <c r="E73" s="2">
        <f t="shared" si="3"/>
        <v>731</v>
      </c>
      <c r="F73" s="2">
        <f t="shared" si="3"/>
        <v>3556</v>
      </c>
      <c r="G73" s="2">
        <f t="shared" si="3"/>
        <v>264</v>
      </c>
      <c r="H73" s="2">
        <f t="shared" si="3"/>
        <v>5571</v>
      </c>
      <c r="I73" s="2">
        <f t="shared" si="3"/>
        <v>192</v>
      </c>
      <c r="J73" s="2">
        <f t="shared" si="3"/>
        <v>200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>+SUM(B73:M73)</f>
        <v>15288.84</v>
      </c>
    </row>
    <row r="74" spans="1:18" x14ac:dyDescent="0.2">
      <c r="D74" s="2"/>
      <c r="E74" s="2"/>
      <c r="F74" s="2"/>
      <c r="G74" s="2"/>
      <c r="H74" s="2"/>
      <c r="I74" s="2"/>
    </row>
    <row r="75" spans="1:18" x14ac:dyDescent="0.2">
      <c r="D75" s="2"/>
      <c r="E75" s="2"/>
      <c r="F75" s="2"/>
      <c r="G75" s="2"/>
      <c r="H75" s="2"/>
      <c r="I75" s="2"/>
    </row>
    <row r="76" spans="1:18" x14ac:dyDescent="0.2">
      <c r="A76" s="4" t="s">
        <v>98</v>
      </c>
      <c r="B76" s="10"/>
      <c r="C76" s="10"/>
      <c r="D76" s="10"/>
      <c r="E76" s="10"/>
      <c r="F76" s="14"/>
      <c r="G76" s="2"/>
      <c r="H76" s="21"/>
      <c r="I76" s="21"/>
      <c r="J76" s="20"/>
    </row>
    <row r="77" spans="1:18" x14ac:dyDescent="0.2">
      <c r="B77" s="10"/>
      <c r="C77" s="10"/>
      <c r="D77" s="10"/>
      <c r="E77" s="10"/>
      <c r="F77" s="14"/>
      <c r="G77" s="2"/>
      <c r="H77" s="2"/>
      <c r="I77" s="2"/>
    </row>
    <row r="78" spans="1:18" x14ac:dyDescent="0.2">
      <c r="B78" s="10"/>
      <c r="C78" s="5" t="s">
        <v>23</v>
      </c>
      <c r="D78" s="5" t="s">
        <v>23</v>
      </c>
      <c r="E78" s="13"/>
      <c r="F78" s="14"/>
      <c r="G78" s="2"/>
      <c r="H78" s="2"/>
      <c r="I78" s="2"/>
    </row>
    <row r="79" spans="1:18" x14ac:dyDescent="0.2">
      <c r="A79" t="s">
        <v>51</v>
      </c>
      <c r="B79" s="10"/>
      <c r="C79" s="10" t="s">
        <v>65</v>
      </c>
      <c r="D79" s="10" t="s">
        <v>82</v>
      </c>
      <c r="E79" s="13" t="s">
        <v>24</v>
      </c>
      <c r="F79" s="14"/>
      <c r="G79" s="2"/>
      <c r="H79" s="2"/>
      <c r="I79" s="2"/>
    </row>
    <row r="80" spans="1:18" x14ac:dyDescent="0.2">
      <c r="A80" s="6"/>
      <c r="B80" s="12"/>
      <c r="C80" s="7">
        <v>2030</v>
      </c>
      <c r="D80" s="7">
        <v>2030</v>
      </c>
      <c r="E80" s="8" t="s">
        <v>27</v>
      </c>
      <c r="F80" s="14"/>
      <c r="G80" s="2"/>
      <c r="H80" s="2"/>
      <c r="I80" s="2"/>
    </row>
    <row r="81" spans="1:10" x14ac:dyDescent="0.2">
      <c r="A81" t="s">
        <v>28</v>
      </c>
      <c r="B81" s="13"/>
      <c r="C81" s="13">
        <f>+'preg1-Norma'!D81</f>
        <v>264</v>
      </c>
      <c r="D81" s="14">
        <f t="shared" ref="D81:D86" si="4">+G35</f>
        <v>264</v>
      </c>
      <c r="E81" s="16">
        <f t="shared" ref="E81:E86" si="5">+D81/C81-1</f>
        <v>0</v>
      </c>
      <c r="F81" s="14"/>
      <c r="G81" s="2"/>
      <c r="H81" s="2"/>
      <c r="I81" s="2"/>
    </row>
    <row r="82" spans="1:10" x14ac:dyDescent="0.2">
      <c r="A82" t="s">
        <v>31</v>
      </c>
      <c r="B82" s="13"/>
      <c r="C82" s="13">
        <f>+'preg1-Norma'!D82</f>
        <v>3045.48</v>
      </c>
      <c r="D82" s="14">
        <f t="shared" si="4"/>
        <v>4774.84</v>
      </c>
      <c r="E82" s="16">
        <f t="shared" si="5"/>
        <v>0.56784480607326282</v>
      </c>
      <c r="F82" s="14"/>
      <c r="G82" s="2"/>
      <c r="H82" s="2"/>
      <c r="I82" s="2"/>
    </row>
    <row r="83" spans="1:10" x14ac:dyDescent="0.2">
      <c r="A83" t="s">
        <v>37</v>
      </c>
      <c r="B83" s="13"/>
      <c r="C83" s="13">
        <f>+'preg1-Norma'!D83</f>
        <v>731</v>
      </c>
      <c r="D83" s="14">
        <f t="shared" si="4"/>
        <v>731</v>
      </c>
      <c r="E83" s="16">
        <f t="shared" si="5"/>
        <v>0</v>
      </c>
      <c r="F83" s="14"/>
      <c r="G83" s="2"/>
      <c r="H83" s="2"/>
      <c r="I83" s="2"/>
    </row>
    <row r="84" spans="1:10" x14ac:dyDescent="0.2">
      <c r="A84" t="s">
        <v>38</v>
      </c>
      <c r="B84" s="10"/>
      <c r="C84" s="13">
        <f>+'preg1-Norma'!D84</f>
        <v>3556</v>
      </c>
      <c r="D84" s="14">
        <f t="shared" si="4"/>
        <v>3556</v>
      </c>
      <c r="E84" s="16">
        <f t="shared" si="5"/>
        <v>0</v>
      </c>
      <c r="F84" s="14"/>
      <c r="G84" s="2"/>
      <c r="H84" s="2"/>
      <c r="I84" s="2"/>
    </row>
    <row r="85" spans="1:10" x14ac:dyDescent="0.2">
      <c r="A85" t="s">
        <v>45</v>
      </c>
      <c r="B85" s="10"/>
      <c r="C85" s="13">
        <f>+'preg1-Norma'!D85</f>
        <v>7071</v>
      </c>
      <c r="D85" s="14">
        <f t="shared" si="4"/>
        <v>5571</v>
      </c>
      <c r="E85" s="16">
        <f t="shared" si="5"/>
        <v>-0.21213406873143825</v>
      </c>
      <c r="F85" s="14"/>
      <c r="G85" s="2"/>
      <c r="H85" s="2"/>
      <c r="I85" s="2"/>
    </row>
    <row r="86" spans="1:10" x14ac:dyDescent="0.2">
      <c r="A86" t="s">
        <v>46</v>
      </c>
      <c r="B86" s="10"/>
      <c r="C86" s="13">
        <f>+'preg1-Norma'!D86</f>
        <v>192</v>
      </c>
      <c r="D86" s="14">
        <f t="shared" si="4"/>
        <v>192</v>
      </c>
      <c r="E86" s="16">
        <f t="shared" si="5"/>
        <v>0</v>
      </c>
      <c r="F86" s="14"/>
      <c r="G86" s="2"/>
      <c r="H86" s="2"/>
      <c r="I86" s="2"/>
    </row>
    <row r="87" spans="1:10" x14ac:dyDescent="0.2">
      <c r="A87" t="s">
        <v>47</v>
      </c>
      <c r="B87" s="10"/>
      <c r="C87" s="13">
        <f>+'preg1-Norma'!D87</f>
        <v>200</v>
      </c>
      <c r="D87" s="14">
        <f t="shared" ref="D87" si="6">+G41</f>
        <v>200</v>
      </c>
      <c r="E87" s="16">
        <f t="shared" ref="E87" si="7">+D87/C87-1</f>
        <v>0</v>
      </c>
      <c r="F87" s="14"/>
      <c r="G87" s="2"/>
      <c r="H87" s="2"/>
      <c r="I87" s="2"/>
    </row>
    <row r="88" spans="1:10" x14ac:dyDescent="0.2">
      <c r="A88" t="s">
        <v>48</v>
      </c>
      <c r="B88" s="10"/>
      <c r="C88" s="13"/>
      <c r="D88" s="14"/>
      <c r="E88" s="14"/>
      <c r="F88" s="14"/>
      <c r="G88" s="2"/>
      <c r="H88" s="2"/>
      <c r="I88" s="2"/>
    </row>
    <row r="89" spans="1:10" x14ac:dyDescent="0.2">
      <c r="A89" t="s">
        <v>49</v>
      </c>
      <c r="B89" s="10"/>
      <c r="C89" s="10"/>
      <c r="D89" s="14"/>
      <c r="E89" s="14"/>
      <c r="F89" s="14"/>
      <c r="G89" s="2"/>
      <c r="H89" s="2"/>
      <c r="I89" s="2"/>
    </row>
    <row r="90" spans="1:10" x14ac:dyDescent="0.2">
      <c r="A90" s="6" t="s">
        <v>50</v>
      </c>
      <c r="B90" s="12"/>
      <c r="C90" s="12"/>
      <c r="D90" s="15"/>
      <c r="E90" s="15"/>
      <c r="F90" s="14"/>
      <c r="G90" s="2"/>
      <c r="H90" s="2"/>
      <c r="I90" s="2"/>
    </row>
    <row r="91" spans="1:10" x14ac:dyDescent="0.2">
      <c r="D91" s="2"/>
      <c r="E91" s="2"/>
      <c r="F91" s="2"/>
      <c r="G91" s="2"/>
      <c r="H91" s="2"/>
      <c r="I91" s="2"/>
    </row>
    <row r="92" spans="1:10" x14ac:dyDescent="0.2">
      <c r="A92" t="s">
        <v>52</v>
      </c>
      <c r="C92" s="2">
        <f>+SUM(C81:C90)</f>
        <v>15059.48</v>
      </c>
      <c r="D92" s="2">
        <f>+SUM(D81:D90)</f>
        <v>15288.84</v>
      </c>
      <c r="E92" s="2"/>
      <c r="F92" s="2"/>
      <c r="G92" s="2"/>
      <c r="H92" s="2"/>
      <c r="I92" s="2"/>
    </row>
    <row r="93" spans="1:10" x14ac:dyDescent="0.2">
      <c r="D93" s="2"/>
      <c r="E93" s="2"/>
      <c r="F93" s="2"/>
      <c r="G93" s="2"/>
      <c r="H93" s="2"/>
      <c r="I93" s="2"/>
    </row>
    <row r="94" spans="1:10" x14ac:dyDescent="0.2">
      <c r="A94" s="4" t="s">
        <v>106</v>
      </c>
      <c r="B94" s="10"/>
      <c r="C94" s="10"/>
      <c r="D94" s="10"/>
      <c r="E94" s="10"/>
      <c r="F94" s="2"/>
      <c r="G94" s="2"/>
      <c r="H94" s="21"/>
      <c r="I94" s="21"/>
      <c r="J94" s="20"/>
    </row>
    <row r="95" spans="1:10" x14ac:dyDescent="0.2">
      <c r="B95" s="10"/>
      <c r="C95" s="10"/>
      <c r="D95" s="10"/>
      <c r="E95" s="10"/>
      <c r="F95" s="2"/>
      <c r="G95" s="2"/>
      <c r="H95" s="2"/>
      <c r="I95" s="2"/>
    </row>
    <row r="96" spans="1:10" x14ac:dyDescent="0.2">
      <c r="B96" s="10"/>
      <c r="C96" s="5" t="s">
        <v>53</v>
      </c>
      <c r="D96" s="5" t="s">
        <v>53</v>
      </c>
      <c r="E96" s="10"/>
      <c r="F96" s="2"/>
      <c r="G96" s="2"/>
      <c r="H96" s="2"/>
      <c r="I96" s="2"/>
    </row>
    <row r="97" spans="1:9" x14ac:dyDescent="0.2">
      <c r="B97" s="10"/>
      <c r="C97" s="10" t="s">
        <v>65</v>
      </c>
      <c r="D97" s="10" t="s">
        <v>82</v>
      </c>
      <c r="E97" s="13" t="s">
        <v>24</v>
      </c>
      <c r="F97" s="2"/>
      <c r="G97" s="2"/>
      <c r="H97" s="2"/>
      <c r="I97" s="2"/>
    </row>
    <row r="98" spans="1:9" x14ac:dyDescent="0.2">
      <c r="A98" s="6"/>
      <c r="B98" s="12"/>
      <c r="C98" s="12">
        <v>2030</v>
      </c>
      <c r="D98" s="12">
        <v>2030</v>
      </c>
      <c r="E98" s="8" t="s">
        <v>27</v>
      </c>
      <c r="F98" s="2"/>
      <c r="G98" s="2"/>
      <c r="H98" s="2"/>
      <c r="I98" s="2"/>
    </row>
    <row r="99" spans="1:9" x14ac:dyDescent="0.2">
      <c r="A99" t="s">
        <v>28</v>
      </c>
      <c r="B99" s="10"/>
      <c r="C99" s="14">
        <f>+'preg1-Norma'!D99</f>
        <v>1271.6399999999999</v>
      </c>
      <c r="D99" s="14">
        <f t="shared" ref="D99:D104" si="8">+F35</f>
        <v>1271.6399999999999</v>
      </c>
      <c r="E99" s="16">
        <f>+D99/C99-1</f>
        <v>0</v>
      </c>
      <c r="F99" s="2"/>
      <c r="G99" s="2"/>
      <c r="H99" s="2"/>
      <c r="I99" s="2"/>
    </row>
    <row r="100" spans="1:9" x14ac:dyDescent="0.2">
      <c r="A100" t="s">
        <v>31</v>
      </c>
      <c r="B100" s="10"/>
      <c r="C100" s="14">
        <f>+'preg1-Norma'!D100</f>
        <v>20971.149999999998</v>
      </c>
      <c r="D100" s="14">
        <f t="shared" si="8"/>
        <v>32183.25</v>
      </c>
      <c r="E100" s="16">
        <f>+D100/C100-1</f>
        <v>0.53464402285997692</v>
      </c>
      <c r="F100" s="2"/>
      <c r="G100" s="2"/>
      <c r="H100" s="2"/>
      <c r="I100" s="2"/>
    </row>
    <row r="101" spans="1:9" x14ac:dyDescent="0.2">
      <c r="A101" t="s">
        <v>37</v>
      </c>
      <c r="B101" s="10"/>
      <c r="C101" s="14">
        <f>+'preg1-Norma'!D101</f>
        <v>3397.68</v>
      </c>
      <c r="D101" s="14">
        <f t="shared" si="8"/>
        <v>815.8</v>
      </c>
      <c r="E101" s="17" t="s">
        <v>94</v>
      </c>
      <c r="F101" s="2"/>
      <c r="G101" s="2"/>
      <c r="H101" s="2"/>
      <c r="I101" s="2"/>
    </row>
    <row r="102" spans="1:9" x14ac:dyDescent="0.2">
      <c r="A102" t="s">
        <v>38</v>
      </c>
      <c r="B102" s="10"/>
      <c r="C102" s="14">
        <f>+'preg1-Norma'!D102</f>
        <v>2764.8100000000004</v>
      </c>
      <c r="D102" s="14">
        <f t="shared" si="8"/>
        <v>2018.6</v>
      </c>
      <c r="E102" s="16">
        <f>+D102/C102-1</f>
        <v>-0.26989558052813767</v>
      </c>
      <c r="F102" s="2"/>
      <c r="G102" s="2"/>
      <c r="H102" s="2"/>
      <c r="I102" s="2"/>
    </row>
    <row r="103" spans="1:9" x14ac:dyDescent="0.2">
      <c r="A103" t="s">
        <v>45</v>
      </c>
      <c r="B103" s="10"/>
      <c r="C103" s="14">
        <f>+'preg1-Norma'!D103</f>
        <v>37165.18</v>
      </c>
      <c r="D103" s="14">
        <f t="shared" si="8"/>
        <v>29281.18</v>
      </c>
      <c r="E103" s="16">
        <f>+D103/C103-1</f>
        <v>-0.21213404589995255</v>
      </c>
      <c r="F103" s="2"/>
      <c r="G103" s="2"/>
      <c r="H103" s="2"/>
      <c r="I103" s="2"/>
    </row>
    <row r="104" spans="1:9" x14ac:dyDescent="0.2">
      <c r="A104" t="s">
        <v>46</v>
      </c>
      <c r="B104" s="10"/>
      <c r="C104" s="14">
        <f>+'preg1-Norma'!D104</f>
        <v>420.48</v>
      </c>
      <c r="D104" s="14">
        <f t="shared" si="8"/>
        <v>420.48</v>
      </c>
      <c r="E104" s="16">
        <f>+D104/C104-1</f>
        <v>0</v>
      </c>
      <c r="F104" s="2"/>
      <c r="G104" s="2"/>
      <c r="H104" s="2"/>
      <c r="I104" s="2"/>
    </row>
    <row r="105" spans="1:9" x14ac:dyDescent="0.2">
      <c r="A105" t="s">
        <v>47</v>
      </c>
      <c r="B105" s="10"/>
      <c r="C105" s="14">
        <f>+'preg1-Norma'!D105</f>
        <v>438</v>
      </c>
      <c r="D105" s="14">
        <f t="shared" ref="D105" si="9">+F41</f>
        <v>438</v>
      </c>
      <c r="E105" s="16">
        <f>+D105/C105-1</f>
        <v>0</v>
      </c>
      <c r="F105" s="2"/>
      <c r="G105" s="2"/>
      <c r="H105" s="2"/>
      <c r="I105" s="2"/>
    </row>
    <row r="106" spans="1:9" x14ac:dyDescent="0.2">
      <c r="A106" t="s">
        <v>48</v>
      </c>
      <c r="B106" s="10"/>
      <c r="C106" s="10"/>
      <c r="D106" s="14"/>
      <c r="E106" s="14"/>
      <c r="F106" s="2"/>
      <c r="G106" s="2"/>
      <c r="H106" s="2"/>
      <c r="I106" s="2"/>
    </row>
    <row r="107" spans="1:9" x14ac:dyDescent="0.2">
      <c r="A107" t="s">
        <v>49</v>
      </c>
      <c r="B107" s="10"/>
      <c r="C107" s="10"/>
      <c r="D107" s="14"/>
      <c r="E107" s="14"/>
      <c r="F107" s="2"/>
      <c r="G107" s="2"/>
      <c r="H107" s="2"/>
      <c r="I107" s="2"/>
    </row>
    <row r="108" spans="1:9" x14ac:dyDescent="0.2">
      <c r="A108" s="6" t="s">
        <v>50</v>
      </c>
      <c r="B108" s="12"/>
      <c r="C108" s="12"/>
      <c r="D108" s="15"/>
      <c r="E108" s="15"/>
      <c r="F108" s="2"/>
      <c r="G108" s="2"/>
      <c r="H108" s="2"/>
      <c r="I108" s="2"/>
    </row>
    <row r="109" spans="1:9" x14ac:dyDescent="0.2">
      <c r="B109" s="10"/>
      <c r="C109" s="10"/>
      <c r="D109" s="14"/>
      <c r="E109" s="14"/>
      <c r="F109" s="2"/>
      <c r="G109" s="2"/>
      <c r="H109" s="2"/>
      <c r="I109" s="2"/>
    </row>
    <row r="110" spans="1:9" x14ac:dyDescent="0.2">
      <c r="A110" t="s">
        <v>52</v>
      </c>
      <c r="B110" s="10"/>
      <c r="C110" s="14">
        <f>+SUM(C99:C108)</f>
        <v>66428.939999999988</v>
      </c>
      <c r="D110" s="14">
        <f>+SUM(D99:D108)</f>
        <v>66428.95</v>
      </c>
      <c r="E110" s="14"/>
      <c r="F110" s="2"/>
      <c r="G110" s="2"/>
      <c r="H110" s="2"/>
      <c r="I110" s="2"/>
    </row>
    <row r="111" spans="1:9" x14ac:dyDescent="0.2">
      <c r="D111" s="2"/>
      <c r="E111" s="2"/>
      <c r="F111" s="2"/>
      <c r="G111" s="2"/>
      <c r="H111" s="2"/>
      <c r="I111" s="2"/>
    </row>
    <row r="113" spans="1:10" x14ac:dyDescent="0.2">
      <c r="A113" s="4" t="s">
        <v>107</v>
      </c>
      <c r="E113" s="10"/>
      <c r="H113" s="21"/>
      <c r="I113" s="21"/>
      <c r="J113" s="20"/>
    </row>
    <row r="114" spans="1:10" x14ac:dyDescent="0.2">
      <c r="E114" s="10"/>
    </row>
    <row r="115" spans="1:10" x14ac:dyDescent="0.2">
      <c r="B115" s="32" t="s">
        <v>83</v>
      </c>
      <c r="C115" s="32"/>
      <c r="E115" s="10"/>
    </row>
    <row r="116" spans="1:10" x14ac:dyDescent="0.2">
      <c r="B116" s="10" t="s">
        <v>65</v>
      </c>
      <c r="C116" s="10" t="s">
        <v>82</v>
      </c>
      <c r="D116" s="3" t="s">
        <v>24</v>
      </c>
      <c r="E116" s="10"/>
    </row>
    <row r="117" spans="1:10" x14ac:dyDescent="0.2">
      <c r="A117" s="6" t="s">
        <v>25</v>
      </c>
      <c r="B117" s="7">
        <v>2030</v>
      </c>
      <c r="C117" s="7">
        <v>2030</v>
      </c>
      <c r="D117" s="8" t="s">
        <v>27</v>
      </c>
      <c r="E117" s="10"/>
    </row>
    <row r="118" spans="1:10" x14ac:dyDescent="0.2">
      <c r="A118" t="s">
        <v>54</v>
      </c>
      <c r="E118" s="10"/>
    </row>
    <row r="119" spans="1:10" x14ac:dyDescent="0.2">
      <c r="A119" t="s">
        <v>60</v>
      </c>
      <c r="B119" s="2">
        <f>+'preg1-Norma'!C119</f>
        <v>2293.6289000000002</v>
      </c>
      <c r="C119" s="2">
        <f>+C129-SUM(A30:D30)/1000000</f>
        <v>2054.55857423</v>
      </c>
      <c r="D119" s="16">
        <f>+C119/B119-1</f>
        <v>-0.10423234803590076</v>
      </c>
      <c r="E119" s="10"/>
    </row>
    <row r="120" spans="1:10" x14ac:dyDescent="0.2">
      <c r="A120" s="6"/>
      <c r="B120" s="6"/>
      <c r="C120" s="6"/>
      <c r="D120" s="6"/>
      <c r="E120" s="10"/>
    </row>
    <row r="121" spans="1:10" x14ac:dyDescent="0.2">
      <c r="B121" s="10"/>
      <c r="C121" s="10"/>
      <c r="D121" s="10"/>
      <c r="E121" s="10"/>
    </row>
    <row r="122" spans="1:10" x14ac:dyDescent="0.2">
      <c r="B122" s="10"/>
      <c r="C122" s="10"/>
      <c r="D122" s="10"/>
      <c r="E122" s="10"/>
    </row>
    <row r="123" spans="1:10" x14ac:dyDescent="0.2">
      <c r="A123" s="4" t="s">
        <v>108</v>
      </c>
      <c r="E123" s="10"/>
      <c r="H123" s="21"/>
      <c r="I123" s="21"/>
      <c r="J123" s="20"/>
    </row>
    <row r="124" spans="1:10" x14ac:dyDescent="0.2">
      <c r="E124" s="10"/>
    </row>
    <row r="125" spans="1:10" x14ac:dyDescent="0.2">
      <c r="B125" s="32" t="s">
        <v>86</v>
      </c>
      <c r="C125" s="32"/>
      <c r="E125" s="10"/>
    </row>
    <row r="126" spans="1:10" x14ac:dyDescent="0.2">
      <c r="B126" s="10" t="s">
        <v>65</v>
      </c>
      <c r="C126" s="10" t="s">
        <v>82</v>
      </c>
      <c r="D126" s="3" t="s">
        <v>24</v>
      </c>
      <c r="E126" s="10"/>
    </row>
    <row r="127" spans="1:10" x14ac:dyDescent="0.2">
      <c r="A127" s="6" t="s">
        <v>25</v>
      </c>
      <c r="B127" s="7">
        <v>2030</v>
      </c>
      <c r="C127" s="7">
        <v>2030</v>
      </c>
      <c r="D127" s="8" t="s">
        <v>27</v>
      </c>
      <c r="E127" s="10"/>
    </row>
    <row r="128" spans="1:10" x14ac:dyDescent="0.2">
      <c r="A128" t="s">
        <v>54</v>
      </c>
      <c r="E128" s="10"/>
    </row>
    <row r="129" spans="1:10" x14ac:dyDescent="0.2">
      <c r="A129" t="s">
        <v>60</v>
      </c>
      <c r="B129" s="2">
        <f>+'preg1-Norma'!C129</f>
        <v>2466.6682137900002</v>
      </c>
      <c r="C129" s="2">
        <f>+E30/1000000</f>
        <v>2160.3134</v>
      </c>
      <c r="D129" s="16">
        <f>+C129/B129-1</f>
        <v>-0.12419781958404952</v>
      </c>
      <c r="E129" s="10"/>
    </row>
    <row r="130" spans="1:10" x14ac:dyDescent="0.2">
      <c r="A130" s="6"/>
      <c r="B130" s="6"/>
      <c r="C130" s="6"/>
      <c r="D130" s="6"/>
      <c r="E130" s="10"/>
    </row>
    <row r="131" spans="1:10" x14ac:dyDescent="0.2">
      <c r="B131" s="10"/>
      <c r="C131" s="10"/>
      <c r="D131" s="10"/>
      <c r="E131" s="10"/>
    </row>
    <row r="132" spans="1:10" x14ac:dyDescent="0.2">
      <c r="B132" s="10"/>
      <c r="C132" s="10"/>
      <c r="D132" s="10"/>
      <c r="E132" s="10"/>
    </row>
    <row r="133" spans="1:10" x14ac:dyDescent="0.2">
      <c r="A133" s="4" t="s">
        <v>109</v>
      </c>
      <c r="E133" s="10"/>
      <c r="H133" s="21"/>
      <c r="I133" s="21"/>
      <c r="J133" s="20"/>
    </row>
    <row r="134" spans="1:10" x14ac:dyDescent="0.2">
      <c r="A134" s="4" t="s">
        <v>55</v>
      </c>
      <c r="E134" s="10"/>
    </row>
    <row r="135" spans="1:10" x14ac:dyDescent="0.2">
      <c r="E135" s="10"/>
    </row>
    <row r="136" spans="1:10" x14ac:dyDescent="0.2">
      <c r="B136" s="10" t="s">
        <v>65</v>
      </c>
      <c r="C136" s="10" t="s">
        <v>82</v>
      </c>
      <c r="D136" s="3" t="s">
        <v>24</v>
      </c>
      <c r="E136" s="10"/>
    </row>
    <row r="137" spans="1:10" x14ac:dyDescent="0.2">
      <c r="A137" s="6"/>
      <c r="B137" s="12">
        <v>2030</v>
      </c>
      <c r="C137" s="12">
        <v>2030</v>
      </c>
      <c r="D137" s="8" t="s">
        <v>27</v>
      </c>
      <c r="E137" s="10"/>
    </row>
    <row r="138" spans="1:10" x14ac:dyDescent="0.2">
      <c r="A138" t="s">
        <v>56</v>
      </c>
      <c r="B138" s="2">
        <f>+'preg1-Norma'!C138</f>
        <v>2490</v>
      </c>
      <c r="C138" s="2">
        <f>+A28*1000</f>
        <v>66430</v>
      </c>
      <c r="D138" s="16">
        <f>+C138/B138-1</f>
        <v>25.678714859437751</v>
      </c>
      <c r="F138" s="2"/>
    </row>
    <row r="139" spans="1:10" x14ac:dyDescent="0.2">
      <c r="A139" t="s">
        <v>57</v>
      </c>
      <c r="B139" s="2">
        <f>+'preg1-Norma'!C139</f>
        <v>22290</v>
      </c>
      <c r="C139" s="2">
        <f>+B28*1000</f>
        <v>180770</v>
      </c>
      <c r="D139" s="16"/>
      <c r="E139" s="10"/>
      <c r="F139" s="2"/>
    </row>
    <row r="140" spans="1:10" x14ac:dyDescent="0.2">
      <c r="A140" t="s">
        <v>58</v>
      </c>
      <c r="B140" s="2">
        <f>+'preg1-Norma'!C140</f>
        <v>94240</v>
      </c>
      <c r="C140" s="2">
        <f>+C28*1000</f>
        <v>54250</v>
      </c>
      <c r="D140" s="16">
        <f>+C140/B140-1</f>
        <v>-0.42434210526315785</v>
      </c>
      <c r="E140" s="10"/>
      <c r="F140" s="2"/>
    </row>
    <row r="141" spans="1:10" ht="15.75" x14ac:dyDescent="0.3">
      <c r="A141" s="1" t="s">
        <v>59</v>
      </c>
      <c r="B141" s="2">
        <f>+'preg1-Norma'!C141</f>
        <v>20496430</v>
      </c>
      <c r="C141" s="2">
        <f>+D28*1000</f>
        <v>27174050</v>
      </c>
      <c r="D141" s="16">
        <f>+C141/B141-1</f>
        <v>0.32579429686047767</v>
      </c>
      <c r="E141" s="10"/>
      <c r="F141" s="2"/>
    </row>
    <row r="142" spans="1:10" x14ac:dyDescent="0.2">
      <c r="A142" s="6"/>
      <c r="B142" s="6"/>
      <c r="C142" s="6"/>
      <c r="D142" s="6"/>
      <c r="E142" s="10"/>
    </row>
    <row r="143" spans="1:10" x14ac:dyDescent="0.2">
      <c r="B143" s="10"/>
      <c r="C143" s="10"/>
      <c r="D143" s="10"/>
      <c r="E143" s="10"/>
    </row>
    <row r="144" spans="1:10" x14ac:dyDescent="0.2">
      <c r="B144" s="10"/>
      <c r="C144" s="10"/>
      <c r="D144" s="10"/>
      <c r="E144" s="10"/>
    </row>
    <row r="145" spans="1:5" x14ac:dyDescent="0.2">
      <c r="B145" s="10"/>
      <c r="C145" s="10"/>
      <c r="D145" s="10"/>
      <c r="E145" s="10"/>
    </row>
    <row r="146" spans="1:5" x14ac:dyDescent="0.2">
      <c r="A146" s="9" t="s">
        <v>84</v>
      </c>
      <c r="B146" s="10"/>
      <c r="C146" s="10"/>
      <c r="D146" s="10"/>
      <c r="E146" s="10"/>
    </row>
    <row r="147" spans="1:5" x14ac:dyDescent="0.2">
      <c r="B147" s="10"/>
      <c r="C147" s="10"/>
      <c r="D147" s="10"/>
      <c r="E147" s="10"/>
    </row>
    <row r="148" spans="1:5" x14ac:dyDescent="0.2">
      <c r="B148" s="10"/>
      <c r="C148" s="10"/>
      <c r="D148" s="10"/>
      <c r="E148" s="10"/>
    </row>
    <row r="149" spans="1:5" x14ac:dyDescent="0.2">
      <c r="B149" s="10"/>
      <c r="C149" s="10"/>
      <c r="D149" s="10"/>
      <c r="E149" s="10"/>
    </row>
    <row r="150" spans="1:5" x14ac:dyDescent="0.2">
      <c r="B150" s="10"/>
      <c r="C150" s="10"/>
      <c r="D150" s="10"/>
      <c r="E150" s="10"/>
    </row>
    <row r="151" spans="1:5" x14ac:dyDescent="0.2">
      <c r="B151" s="10"/>
      <c r="C151" s="10"/>
      <c r="D151" s="10"/>
      <c r="E151" s="10"/>
    </row>
  </sheetData>
  <mergeCells count="2">
    <mergeCell ref="B115:C115"/>
    <mergeCell ref="B125:C125"/>
  </mergeCells>
  <phoneticPr fontId="2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51"/>
  <sheetViews>
    <sheetView topLeftCell="A4" zoomScale="115" zoomScaleNormal="115" workbookViewId="0">
      <selection activeCell="D27" sqref="D27"/>
    </sheetView>
  </sheetViews>
  <sheetFormatPr baseColWidth="10" defaultRowHeight="12.75" x14ac:dyDescent="0.2"/>
  <cols>
    <col min="1" max="1" width="12.7109375" customWidth="1"/>
    <col min="5" max="5" width="12.85546875" customWidth="1"/>
    <col min="7" max="7" width="11.7109375" customWidth="1"/>
  </cols>
  <sheetData>
    <row r="2" spans="1:7" x14ac:dyDescent="0.2">
      <c r="A2" s="6" t="s">
        <v>0</v>
      </c>
      <c r="B2" s="6" t="s">
        <v>68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81</v>
      </c>
    </row>
    <row r="3" spans="1:7" x14ac:dyDescent="0.2">
      <c r="A3" t="s">
        <v>5</v>
      </c>
      <c r="B3" t="s">
        <v>69</v>
      </c>
      <c r="C3" t="s">
        <v>14</v>
      </c>
      <c r="D3">
        <v>60</v>
      </c>
      <c r="E3">
        <v>0</v>
      </c>
      <c r="F3" s="3">
        <v>289.01</v>
      </c>
      <c r="G3" s="3">
        <f>+D3+E3</f>
        <v>60</v>
      </c>
    </row>
    <row r="4" spans="1:7" x14ac:dyDescent="0.2">
      <c r="A4" t="s">
        <v>5</v>
      </c>
      <c r="B4" t="s">
        <v>69</v>
      </c>
      <c r="C4" t="s">
        <v>16</v>
      </c>
      <c r="D4">
        <v>204</v>
      </c>
      <c r="E4">
        <v>0</v>
      </c>
      <c r="F4" s="3">
        <v>982.63</v>
      </c>
      <c r="G4" s="3">
        <f t="shared" ref="G4:G23" si="0">+D4+E4</f>
        <v>204</v>
      </c>
    </row>
    <row r="5" spans="1:7" x14ac:dyDescent="0.2">
      <c r="A5" t="s">
        <v>6</v>
      </c>
      <c r="B5" t="s">
        <v>69</v>
      </c>
      <c r="C5" t="s">
        <v>8</v>
      </c>
      <c r="D5">
        <v>575</v>
      </c>
      <c r="E5">
        <v>0</v>
      </c>
      <c r="F5" s="3">
        <v>4432.5600000000004</v>
      </c>
      <c r="G5" s="3">
        <f t="shared" si="0"/>
        <v>575</v>
      </c>
    </row>
    <row r="6" spans="1:7" x14ac:dyDescent="0.2">
      <c r="A6" t="s">
        <v>6</v>
      </c>
      <c r="B6" t="s">
        <v>69</v>
      </c>
      <c r="C6" t="s">
        <v>11</v>
      </c>
      <c r="D6">
        <v>812</v>
      </c>
      <c r="E6" s="3">
        <v>2581.84</v>
      </c>
      <c r="F6" s="3">
        <v>23727.22</v>
      </c>
      <c r="G6" s="3">
        <f t="shared" si="0"/>
        <v>3393.84</v>
      </c>
    </row>
    <row r="7" spans="1:7" x14ac:dyDescent="0.2">
      <c r="A7" t="s">
        <v>6</v>
      </c>
      <c r="B7" t="s">
        <v>69</v>
      </c>
      <c r="C7" t="s">
        <v>15</v>
      </c>
      <c r="D7">
        <v>806</v>
      </c>
      <c r="E7">
        <v>0</v>
      </c>
      <c r="F7" s="3">
        <v>4023.46</v>
      </c>
      <c r="G7" s="3">
        <f t="shared" si="0"/>
        <v>806</v>
      </c>
    </row>
    <row r="8" spans="1:7" x14ac:dyDescent="0.2">
      <c r="A8" t="s">
        <v>19</v>
      </c>
      <c r="B8" t="s">
        <v>69</v>
      </c>
      <c r="C8" t="s">
        <v>11</v>
      </c>
      <c r="D8">
        <v>731</v>
      </c>
      <c r="E8">
        <v>0</v>
      </c>
      <c r="F8" s="3">
        <v>815.8</v>
      </c>
      <c r="G8" s="3">
        <f t="shared" si="0"/>
        <v>731</v>
      </c>
    </row>
    <row r="9" spans="1:7" x14ac:dyDescent="0.2">
      <c r="A9" t="s">
        <v>20</v>
      </c>
      <c r="B9" t="s">
        <v>69</v>
      </c>
      <c r="C9" t="s">
        <v>6</v>
      </c>
      <c r="D9">
        <v>169</v>
      </c>
      <c r="E9">
        <v>0</v>
      </c>
      <c r="F9" s="3">
        <v>0</v>
      </c>
      <c r="G9" s="3">
        <f t="shared" si="0"/>
        <v>169</v>
      </c>
    </row>
    <row r="10" spans="1:7" x14ac:dyDescent="0.2">
      <c r="A10" t="s">
        <v>20</v>
      </c>
      <c r="B10" t="s">
        <v>69</v>
      </c>
      <c r="C10" t="s">
        <v>7</v>
      </c>
      <c r="D10">
        <v>439</v>
      </c>
      <c r="E10">
        <v>0</v>
      </c>
      <c r="F10" s="3">
        <v>0</v>
      </c>
      <c r="G10" s="3">
        <f t="shared" si="0"/>
        <v>439</v>
      </c>
    </row>
    <row r="11" spans="1:7" x14ac:dyDescent="0.2">
      <c r="A11" t="s">
        <v>20</v>
      </c>
      <c r="B11" t="s">
        <v>69</v>
      </c>
      <c r="C11" t="s">
        <v>8</v>
      </c>
      <c r="D11">
        <v>58</v>
      </c>
      <c r="E11">
        <v>0</v>
      </c>
      <c r="F11" s="3">
        <v>0</v>
      </c>
      <c r="G11" s="3">
        <f t="shared" si="0"/>
        <v>58</v>
      </c>
    </row>
    <row r="12" spans="1:7" x14ac:dyDescent="0.2">
      <c r="A12" t="s">
        <v>20</v>
      </c>
      <c r="B12" t="s">
        <v>69</v>
      </c>
      <c r="C12" t="s">
        <v>9</v>
      </c>
      <c r="D12">
        <v>97</v>
      </c>
      <c r="E12">
        <v>0</v>
      </c>
      <c r="F12" s="3">
        <v>0</v>
      </c>
      <c r="G12" s="3">
        <f t="shared" si="0"/>
        <v>97</v>
      </c>
    </row>
    <row r="13" spans="1:7" x14ac:dyDescent="0.2">
      <c r="A13" t="s">
        <v>20</v>
      </c>
      <c r="B13" t="s">
        <v>69</v>
      </c>
      <c r="C13" t="s">
        <v>10</v>
      </c>
      <c r="D13">
        <v>203</v>
      </c>
      <c r="E13">
        <v>0</v>
      </c>
      <c r="F13" s="3">
        <v>94.33</v>
      </c>
      <c r="G13" s="3">
        <f t="shared" si="0"/>
        <v>203</v>
      </c>
    </row>
    <row r="14" spans="1:7" x14ac:dyDescent="0.2">
      <c r="A14" t="s">
        <v>20</v>
      </c>
      <c r="B14" t="s">
        <v>69</v>
      </c>
      <c r="C14" t="s">
        <v>11</v>
      </c>
      <c r="D14">
        <v>700</v>
      </c>
      <c r="E14">
        <v>0</v>
      </c>
      <c r="F14" s="3">
        <v>772.8</v>
      </c>
      <c r="G14" s="3">
        <f t="shared" si="0"/>
        <v>700</v>
      </c>
    </row>
    <row r="15" spans="1:7" x14ac:dyDescent="0.2">
      <c r="A15" t="s">
        <v>20</v>
      </c>
      <c r="B15" t="s">
        <v>69</v>
      </c>
      <c r="C15" t="s">
        <v>12</v>
      </c>
      <c r="D15">
        <v>71</v>
      </c>
      <c r="E15">
        <v>0</v>
      </c>
      <c r="F15" s="3">
        <v>0</v>
      </c>
      <c r="G15" s="3">
        <f t="shared" si="0"/>
        <v>71</v>
      </c>
    </row>
    <row r="16" spans="1:7" x14ac:dyDescent="0.2">
      <c r="A16" t="s">
        <v>20</v>
      </c>
      <c r="B16" t="s">
        <v>69</v>
      </c>
      <c r="C16" t="s">
        <v>13</v>
      </c>
      <c r="D16">
        <v>368</v>
      </c>
      <c r="E16">
        <v>0</v>
      </c>
      <c r="F16" s="3">
        <v>0</v>
      </c>
      <c r="G16" s="3">
        <f t="shared" si="0"/>
        <v>368</v>
      </c>
    </row>
    <row r="17" spans="1:7" x14ac:dyDescent="0.2">
      <c r="A17" t="s">
        <v>20</v>
      </c>
      <c r="B17" t="s">
        <v>69</v>
      </c>
      <c r="C17" t="s">
        <v>14</v>
      </c>
      <c r="D17">
        <v>134</v>
      </c>
      <c r="E17">
        <v>0</v>
      </c>
      <c r="F17" s="3">
        <v>0</v>
      </c>
      <c r="G17" s="3">
        <f t="shared" si="0"/>
        <v>134</v>
      </c>
    </row>
    <row r="18" spans="1:7" x14ac:dyDescent="0.2">
      <c r="A18" t="s">
        <v>20</v>
      </c>
      <c r="B18" t="s">
        <v>69</v>
      </c>
      <c r="C18" t="s">
        <v>16</v>
      </c>
      <c r="D18">
        <v>1043</v>
      </c>
      <c r="E18">
        <v>0</v>
      </c>
      <c r="F18" s="3">
        <v>1151.47</v>
      </c>
      <c r="G18" s="3">
        <f t="shared" si="0"/>
        <v>1043</v>
      </c>
    </row>
    <row r="19" spans="1:7" x14ac:dyDescent="0.2">
      <c r="A19" t="s">
        <v>20</v>
      </c>
      <c r="B19" t="s">
        <v>69</v>
      </c>
      <c r="C19" t="s">
        <v>17</v>
      </c>
      <c r="D19">
        <v>135</v>
      </c>
      <c r="E19">
        <v>0</v>
      </c>
      <c r="F19" s="3">
        <v>0</v>
      </c>
      <c r="G19" s="3">
        <f t="shared" si="0"/>
        <v>135</v>
      </c>
    </row>
    <row r="20" spans="1:7" x14ac:dyDescent="0.2">
      <c r="A20" t="s">
        <v>20</v>
      </c>
      <c r="B20" t="s">
        <v>69</v>
      </c>
      <c r="C20" t="s">
        <v>18</v>
      </c>
      <c r="D20">
        <v>139</v>
      </c>
      <c r="E20">
        <v>0</v>
      </c>
      <c r="F20" s="3">
        <v>0</v>
      </c>
      <c r="G20" s="3">
        <f t="shared" si="0"/>
        <v>139</v>
      </c>
    </row>
    <row r="21" spans="1:7" x14ac:dyDescent="0.2">
      <c r="A21" t="s">
        <v>21</v>
      </c>
      <c r="B21" t="s">
        <v>69</v>
      </c>
      <c r="C21" t="s">
        <v>16</v>
      </c>
      <c r="D21">
        <v>5571</v>
      </c>
      <c r="E21">
        <v>0</v>
      </c>
      <c r="F21" s="3">
        <v>29281.18</v>
      </c>
      <c r="G21" s="3">
        <f t="shared" si="0"/>
        <v>5571</v>
      </c>
    </row>
    <row r="22" spans="1:7" x14ac:dyDescent="0.2">
      <c r="A22" t="s">
        <v>114</v>
      </c>
      <c r="B22" t="s">
        <v>69</v>
      </c>
      <c r="C22" t="s">
        <v>10</v>
      </c>
      <c r="D22">
        <v>192</v>
      </c>
      <c r="E22">
        <v>0</v>
      </c>
      <c r="F22" s="3">
        <v>420.48</v>
      </c>
      <c r="G22" s="3">
        <f t="shared" si="0"/>
        <v>192</v>
      </c>
    </row>
    <row r="23" spans="1:7" x14ac:dyDescent="0.2">
      <c r="A23" t="s">
        <v>115</v>
      </c>
      <c r="B23" t="s">
        <v>69</v>
      </c>
      <c r="C23" t="s">
        <v>8</v>
      </c>
      <c r="D23">
        <v>200</v>
      </c>
      <c r="E23">
        <v>0</v>
      </c>
      <c r="F23" s="3">
        <v>438</v>
      </c>
      <c r="G23" s="3">
        <f t="shared" si="0"/>
        <v>200</v>
      </c>
    </row>
    <row r="24" spans="1:7" x14ac:dyDescent="0.2">
      <c r="F24" s="27">
        <f>+SUM(F2:F23)</f>
        <v>66428.940000000017</v>
      </c>
      <c r="G24" s="27">
        <f>+SUM(G2:G23)</f>
        <v>15288.84</v>
      </c>
    </row>
    <row r="26" spans="1:7" x14ac:dyDescent="0.2">
      <c r="A26" s="6" t="s">
        <v>72</v>
      </c>
      <c r="B26" s="6" t="s">
        <v>73</v>
      </c>
      <c r="C26" s="6" t="s">
        <v>74</v>
      </c>
      <c r="D26" s="6" t="s">
        <v>75</v>
      </c>
    </row>
    <row r="27" spans="1:7" x14ac:dyDescent="0.2">
      <c r="A27" s="2">
        <v>253.49</v>
      </c>
      <c r="B27" s="2">
        <v>239.17</v>
      </c>
      <c r="C27" s="2">
        <v>98.86</v>
      </c>
      <c r="D27" s="2">
        <v>27174.34</v>
      </c>
      <c r="E27" s="2"/>
    </row>
    <row r="28" spans="1:7" x14ac:dyDescent="0.2">
      <c r="A28" s="11" t="s">
        <v>93</v>
      </c>
      <c r="B28" s="11" t="s">
        <v>87</v>
      </c>
      <c r="C28" s="11" t="s">
        <v>88</v>
      </c>
      <c r="D28" s="11" t="s">
        <v>89</v>
      </c>
      <c r="E28" s="31" t="s">
        <v>122</v>
      </c>
    </row>
    <row r="29" spans="1:7" x14ac:dyDescent="0.2">
      <c r="A29" s="2">
        <v>617749981.33000004</v>
      </c>
      <c r="B29" s="2">
        <v>321301276.13999999</v>
      </c>
      <c r="C29" s="2">
        <v>156034731.63</v>
      </c>
      <c r="D29" s="2">
        <v>0</v>
      </c>
      <c r="E29" s="2">
        <v>1817153900</v>
      </c>
      <c r="G29" s="2"/>
    </row>
    <row r="30" spans="1:7" x14ac:dyDescent="0.2">
      <c r="D30" s="2"/>
      <c r="E30" s="2"/>
      <c r="F30" s="2"/>
      <c r="G30" s="2"/>
    </row>
    <row r="31" spans="1:7" x14ac:dyDescent="0.2">
      <c r="D31" s="2"/>
      <c r="E31" s="2"/>
      <c r="F31" s="2"/>
      <c r="G31" s="2"/>
    </row>
    <row r="32" spans="1:7" x14ac:dyDescent="0.2">
      <c r="D32" s="2"/>
      <c r="E32" s="2"/>
      <c r="F32" s="2"/>
      <c r="G32" s="2"/>
    </row>
    <row r="33" spans="1:7" x14ac:dyDescent="0.2">
      <c r="D33" s="2"/>
      <c r="E33" s="2"/>
      <c r="F33" s="2"/>
      <c r="G33" s="2"/>
    </row>
    <row r="34" spans="1:7" x14ac:dyDescent="0.2">
      <c r="A34" s="6"/>
      <c r="B34" s="6"/>
      <c r="C34" s="6"/>
      <c r="D34" s="11"/>
      <c r="E34" s="11"/>
      <c r="F34" s="6" t="s">
        <v>4</v>
      </c>
      <c r="G34" s="6" t="s">
        <v>81</v>
      </c>
    </row>
    <row r="35" spans="1:7" x14ac:dyDescent="0.2">
      <c r="A35" t="s">
        <v>28</v>
      </c>
      <c r="D35" s="2"/>
      <c r="E35" s="2"/>
      <c r="F35" s="2">
        <f>+F3+F4</f>
        <v>1271.6399999999999</v>
      </c>
      <c r="G35" s="2">
        <f>+G3+G4</f>
        <v>264</v>
      </c>
    </row>
    <row r="36" spans="1:7" x14ac:dyDescent="0.2">
      <c r="A36" t="s">
        <v>31</v>
      </c>
      <c r="D36" s="2"/>
      <c r="E36" s="2"/>
      <c r="F36" s="2">
        <f>+SUM(F5:F7)</f>
        <v>32183.24</v>
      </c>
      <c r="G36" s="2">
        <f>+SUM(G5:G7)</f>
        <v>4774.84</v>
      </c>
    </row>
    <row r="37" spans="1:7" x14ac:dyDescent="0.2">
      <c r="A37" t="s">
        <v>37</v>
      </c>
      <c r="D37" s="2"/>
      <c r="E37" s="2"/>
      <c r="F37" s="2">
        <f>+F8</f>
        <v>815.8</v>
      </c>
      <c r="G37" s="2">
        <f>+G8</f>
        <v>731</v>
      </c>
    </row>
    <row r="38" spans="1:7" x14ac:dyDescent="0.2">
      <c r="A38" t="s">
        <v>38</v>
      </c>
      <c r="D38" s="2"/>
      <c r="E38" s="2"/>
      <c r="F38" s="2">
        <f>+SUM(F9:F20)</f>
        <v>2018.6</v>
      </c>
      <c r="G38" s="2">
        <f>+SUM(G9:G20)</f>
        <v>3556</v>
      </c>
    </row>
    <row r="39" spans="1:7" x14ac:dyDescent="0.2">
      <c r="A39" t="s">
        <v>45</v>
      </c>
      <c r="D39" s="2"/>
      <c r="E39" s="2"/>
      <c r="F39" s="2">
        <f t="shared" ref="F39:G41" si="1">+F21</f>
        <v>29281.18</v>
      </c>
      <c r="G39" s="2">
        <f t="shared" si="1"/>
        <v>5571</v>
      </c>
    </row>
    <row r="40" spans="1:7" x14ac:dyDescent="0.2">
      <c r="A40" t="s">
        <v>46</v>
      </c>
      <c r="D40" s="2"/>
      <c r="E40" s="2"/>
      <c r="F40" s="2">
        <f t="shared" si="1"/>
        <v>420.48</v>
      </c>
      <c r="G40" s="2">
        <f t="shared" si="1"/>
        <v>192</v>
      </c>
    </row>
    <row r="41" spans="1:7" x14ac:dyDescent="0.2">
      <c r="A41" t="s">
        <v>47</v>
      </c>
      <c r="D41" s="2"/>
      <c r="E41" s="2"/>
      <c r="F41" s="2">
        <f t="shared" si="1"/>
        <v>438</v>
      </c>
      <c r="G41" s="2">
        <f t="shared" si="1"/>
        <v>200</v>
      </c>
    </row>
    <row r="42" spans="1:7" x14ac:dyDescent="0.2">
      <c r="A42" t="s">
        <v>48</v>
      </c>
      <c r="D42" s="2"/>
      <c r="E42" s="2"/>
    </row>
    <row r="43" spans="1:7" x14ac:dyDescent="0.2">
      <c r="A43" t="s">
        <v>49</v>
      </c>
      <c r="D43" s="2"/>
      <c r="E43" s="2"/>
      <c r="F43" s="2"/>
      <c r="G43" s="2"/>
    </row>
    <row r="44" spans="1:7" x14ac:dyDescent="0.2">
      <c r="A44" t="s">
        <v>50</v>
      </c>
      <c r="D44" s="2"/>
      <c r="E44" s="2"/>
      <c r="F44" s="2"/>
      <c r="G44" s="2"/>
    </row>
    <row r="45" spans="1:7" x14ac:dyDescent="0.2">
      <c r="D45" s="2"/>
      <c r="E45" s="2"/>
      <c r="F45" s="2"/>
      <c r="G45" s="2"/>
    </row>
    <row r="46" spans="1:7" x14ac:dyDescent="0.2">
      <c r="A46" t="s">
        <v>52</v>
      </c>
      <c r="D46" s="2"/>
      <c r="E46" s="2"/>
      <c r="F46" s="2">
        <f>+SUM(F35:F44)</f>
        <v>66428.94</v>
      </c>
      <c r="G46" s="2">
        <f>+SUM(G35:G44)</f>
        <v>15288.84</v>
      </c>
    </row>
    <row r="52" spans="1:18" x14ac:dyDescent="0.2">
      <c r="A52" s="4" t="s">
        <v>116</v>
      </c>
      <c r="B52" s="10"/>
      <c r="C52" s="10"/>
      <c r="D52" s="10"/>
      <c r="E52" s="2"/>
      <c r="F52" s="2"/>
      <c r="G52" s="2"/>
      <c r="H52" s="2"/>
      <c r="I52" s="2"/>
    </row>
    <row r="53" spans="1:18" x14ac:dyDescent="0.2">
      <c r="B53" s="10"/>
      <c r="C53" s="10"/>
      <c r="D53" s="10"/>
      <c r="E53" s="14"/>
      <c r="F53" s="14"/>
      <c r="G53" s="14"/>
      <c r="H53" s="14"/>
      <c r="I53" s="14"/>
      <c r="J53" s="10"/>
    </row>
    <row r="54" spans="1:18" x14ac:dyDescent="0.2">
      <c r="D54" s="2"/>
      <c r="E54" s="2"/>
      <c r="F54" s="2"/>
      <c r="G54" s="2"/>
      <c r="H54" s="2"/>
      <c r="I54" s="2"/>
    </row>
    <row r="55" spans="1:18" x14ac:dyDescent="0.2">
      <c r="C55" s="2"/>
      <c r="D55" s="2" t="s">
        <v>54</v>
      </c>
      <c r="E55" s="2"/>
      <c r="F55" s="2"/>
      <c r="G55" s="2"/>
      <c r="H55" s="2"/>
    </row>
    <row r="56" spans="1:18" x14ac:dyDescent="0.2">
      <c r="B56" s="10"/>
      <c r="C56" s="14"/>
      <c r="D56" s="14" t="s">
        <v>77</v>
      </c>
      <c r="E56" s="14" t="s">
        <v>77</v>
      </c>
      <c r="F56" s="14" t="s">
        <v>77</v>
      </c>
      <c r="G56" s="14" t="s">
        <v>77</v>
      </c>
      <c r="H56" s="14" t="s">
        <v>77</v>
      </c>
      <c r="I56" s="10" t="s">
        <v>77</v>
      </c>
      <c r="J56" s="10" t="s">
        <v>77</v>
      </c>
      <c r="K56" s="10" t="s">
        <v>77</v>
      </c>
      <c r="L56" s="10" t="s">
        <v>77</v>
      </c>
      <c r="M56" s="10" t="s">
        <v>77</v>
      </c>
    </row>
    <row r="57" spans="1:18" ht="15.75" x14ac:dyDescent="0.3">
      <c r="A57" s="6" t="s">
        <v>26</v>
      </c>
      <c r="B57" s="12"/>
      <c r="C57" s="15"/>
      <c r="D57" s="15" t="s">
        <v>80</v>
      </c>
      <c r="E57" s="15" t="s">
        <v>61</v>
      </c>
      <c r="F57" s="15" t="s">
        <v>62</v>
      </c>
      <c r="G57" s="15" t="s">
        <v>28</v>
      </c>
      <c r="H57" s="15" t="s">
        <v>45</v>
      </c>
      <c r="I57" s="12" t="s">
        <v>46</v>
      </c>
      <c r="J57" s="12" t="s">
        <v>47</v>
      </c>
      <c r="K57" s="12" t="s">
        <v>48</v>
      </c>
      <c r="L57" s="12" t="s">
        <v>49</v>
      </c>
      <c r="M57" s="12" t="s">
        <v>63</v>
      </c>
    </row>
    <row r="58" spans="1:18" x14ac:dyDescent="0.2">
      <c r="B58" s="10"/>
      <c r="C58" s="14"/>
      <c r="D58" s="14"/>
      <c r="E58" s="14"/>
      <c r="F58" s="14"/>
      <c r="G58" s="14"/>
      <c r="H58" s="14"/>
      <c r="I58" s="10"/>
    </row>
    <row r="59" spans="1:18" x14ac:dyDescent="0.2">
      <c r="A59" t="s">
        <v>32</v>
      </c>
      <c r="B59" s="14"/>
      <c r="C59" s="14"/>
      <c r="D59" s="14" t="s">
        <v>54</v>
      </c>
      <c r="E59" s="14"/>
      <c r="F59" s="14">
        <f>+VLOOKUP($R59,$C$9:$G$20,5,0)</f>
        <v>439</v>
      </c>
      <c r="G59" s="14"/>
      <c r="H59" s="14"/>
      <c r="I59" s="14"/>
      <c r="J59" s="2"/>
      <c r="K59" s="2"/>
      <c r="L59" s="2"/>
      <c r="M59" s="2"/>
      <c r="R59" s="1" t="s">
        <v>7</v>
      </c>
    </row>
    <row r="60" spans="1:18" x14ac:dyDescent="0.2">
      <c r="A60" t="s">
        <v>39</v>
      </c>
      <c r="B60" s="14"/>
      <c r="C60" s="14"/>
      <c r="D60" s="14" t="s">
        <v>54</v>
      </c>
      <c r="E60" s="14"/>
      <c r="F60" s="14">
        <f t="shared" ref="F60:F71" si="2">+VLOOKUP($R60,$C$9:$G$20,5,0)</f>
        <v>169</v>
      </c>
      <c r="G60" s="14"/>
      <c r="H60" s="14"/>
      <c r="I60" s="14"/>
      <c r="J60" s="2"/>
      <c r="K60" s="2"/>
      <c r="L60" s="2"/>
      <c r="M60" s="2"/>
      <c r="R60" t="s">
        <v>6</v>
      </c>
    </row>
    <row r="61" spans="1:18" x14ac:dyDescent="0.2">
      <c r="A61" t="s">
        <v>33</v>
      </c>
      <c r="B61" s="14"/>
      <c r="C61" s="14"/>
      <c r="D61" s="14">
        <f>+VLOOKUP($R61,$C$5:$G$7,5,0)</f>
        <v>575</v>
      </c>
      <c r="E61" s="14">
        <f>+G8</f>
        <v>731</v>
      </c>
      <c r="F61" s="14">
        <f t="shared" si="2"/>
        <v>58</v>
      </c>
      <c r="G61" s="14"/>
      <c r="H61" s="14"/>
      <c r="I61" s="14"/>
      <c r="J61" s="2">
        <f>+G23</f>
        <v>200</v>
      </c>
      <c r="K61" s="2"/>
      <c r="L61" s="2"/>
      <c r="M61" s="2"/>
      <c r="R61" s="1" t="s">
        <v>8</v>
      </c>
    </row>
    <row r="62" spans="1:18" x14ac:dyDescent="0.2">
      <c r="A62" t="s">
        <v>41</v>
      </c>
      <c r="B62" s="14"/>
      <c r="C62" s="14"/>
      <c r="D62" s="14" t="s">
        <v>54</v>
      </c>
      <c r="E62" s="14"/>
      <c r="F62" s="14">
        <f t="shared" si="2"/>
        <v>97</v>
      </c>
      <c r="G62" s="14"/>
      <c r="H62" s="14"/>
      <c r="I62" s="14"/>
      <c r="J62" s="2"/>
      <c r="K62" s="2"/>
      <c r="L62" s="2"/>
      <c r="M62" s="2"/>
      <c r="R62" s="1" t="s">
        <v>9</v>
      </c>
    </row>
    <row r="63" spans="1:18" x14ac:dyDescent="0.2">
      <c r="A63" t="s">
        <v>40</v>
      </c>
      <c r="B63" s="14"/>
      <c r="C63" s="14"/>
      <c r="D63" s="14" t="s">
        <v>54</v>
      </c>
      <c r="E63" s="14"/>
      <c r="F63" s="14">
        <f t="shared" si="2"/>
        <v>203</v>
      </c>
      <c r="G63" s="14"/>
      <c r="H63" s="14"/>
      <c r="I63" s="14">
        <f>+G22</f>
        <v>192</v>
      </c>
      <c r="J63" s="2"/>
      <c r="K63" s="2"/>
      <c r="L63" s="2"/>
      <c r="M63" s="2"/>
      <c r="R63" s="1" t="s">
        <v>10</v>
      </c>
    </row>
    <row r="64" spans="1:18" x14ac:dyDescent="0.2">
      <c r="A64" t="s">
        <v>34</v>
      </c>
      <c r="B64" s="14"/>
      <c r="C64" s="14"/>
      <c r="D64" s="14">
        <f>+VLOOKUP($R64,$C$5:$G$7,5,0)</f>
        <v>3393.84</v>
      </c>
      <c r="E64" s="14"/>
      <c r="F64" s="14">
        <f t="shared" si="2"/>
        <v>700</v>
      </c>
      <c r="G64" s="14"/>
      <c r="H64" s="14"/>
      <c r="I64" s="14"/>
      <c r="J64" s="2"/>
      <c r="K64" s="2"/>
      <c r="L64" s="2"/>
      <c r="M64" s="2"/>
      <c r="R64" s="1" t="s">
        <v>11</v>
      </c>
    </row>
    <row r="65" spans="1:18" x14ac:dyDescent="0.2">
      <c r="A65" t="s">
        <v>42</v>
      </c>
      <c r="B65" s="14"/>
      <c r="C65" s="14"/>
      <c r="D65" s="14" t="s">
        <v>54</v>
      </c>
      <c r="E65" s="14"/>
      <c r="F65" s="14">
        <f t="shared" si="2"/>
        <v>71</v>
      </c>
      <c r="G65" s="14"/>
      <c r="H65" s="14"/>
      <c r="I65" s="14"/>
      <c r="J65" s="2"/>
      <c r="K65" s="2"/>
      <c r="L65" s="2"/>
      <c r="M65" s="2"/>
      <c r="R65" s="1" t="s">
        <v>12</v>
      </c>
    </row>
    <row r="66" spans="1:18" x14ac:dyDescent="0.2">
      <c r="A66" t="s">
        <v>35</v>
      </c>
      <c r="B66" s="14"/>
      <c r="C66" s="14"/>
      <c r="D66" s="14" t="s">
        <v>54</v>
      </c>
      <c r="E66" s="14"/>
      <c r="F66" s="14">
        <f t="shared" si="2"/>
        <v>368</v>
      </c>
      <c r="G66" s="14"/>
      <c r="H66" s="14"/>
      <c r="I66" s="14"/>
      <c r="J66" s="2"/>
      <c r="K66" s="2"/>
      <c r="L66" s="2"/>
      <c r="M66" s="2"/>
      <c r="R66" s="1" t="s">
        <v>13</v>
      </c>
    </row>
    <row r="67" spans="1:18" x14ac:dyDescent="0.2">
      <c r="A67" t="s">
        <v>29</v>
      </c>
      <c r="B67" s="14"/>
      <c r="C67" s="14"/>
      <c r="D67" s="14" t="s">
        <v>54</v>
      </c>
      <c r="E67" s="14"/>
      <c r="F67" s="14">
        <f t="shared" si="2"/>
        <v>134</v>
      </c>
      <c r="G67" s="14">
        <f>+G3</f>
        <v>60</v>
      </c>
      <c r="H67" s="14"/>
      <c r="I67" s="14"/>
      <c r="J67" s="2"/>
      <c r="K67" s="2"/>
      <c r="L67" s="2"/>
      <c r="M67" s="2"/>
      <c r="R67" s="1" t="s">
        <v>14</v>
      </c>
    </row>
    <row r="68" spans="1:18" x14ac:dyDescent="0.2">
      <c r="A68" t="s">
        <v>36</v>
      </c>
      <c r="B68" s="14"/>
      <c r="C68" s="14"/>
      <c r="D68" s="14">
        <f>+VLOOKUP($R68,$C$5:$G$7,5,0)</f>
        <v>806</v>
      </c>
      <c r="E68" s="14"/>
      <c r="F68" s="14" t="s">
        <v>54</v>
      </c>
      <c r="G68" s="14"/>
      <c r="H68" s="14"/>
      <c r="I68" s="14"/>
      <c r="J68" s="2"/>
      <c r="K68" s="2"/>
      <c r="L68" s="2"/>
      <c r="M68" s="2"/>
      <c r="R68" s="1" t="s">
        <v>15</v>
      </c>
    </row>
    <row r="69" spans="1:18" x14ac:dyDescent="0.2">
      <c r="A69" t="s">
        <v>30</v>
      </c>
      <c r="B69" s="14"/>
      <c r="C69" s="14"/>
      <c r="D69" s="14" t="s">
        <v>54</v>
      </c>
      <c r="E69" s="14"/>
      <c r="F69" s="14">
        <f t="shared" si="2"/>
        <v>1043</v>
      </c>
      <c r="G69" s="14">
        <f>+G4</f>
        <v>204</v>
      </c>
      <c r="H69" s="14">
        <f>+G21</f>
        <v>5571</v>
      </c>
      <c r="I69" s="2"/>
      <c r="J69" s="2"/>
      <c r="K69" s="2"/>
      <c r="L69" s="2"/>
      <c r="M69" s="2"/>
      <c r="R69" s="1" t="s">
        <v>16</v>
      </c>
    </row>
    <row r="70" spans="1:18" x14ac:dyDescent="0.2">
      <c r="A70" t="s">
        <v>43</v>
      </c>
      <c r="B70" s="14"/>
      <c r="C70" s="14"/>
      <c r="D70" s="14" t="s">
        <v>54</v>
      </c>
      <c r="E70" s="14"/>
      <c r="F70" s="14">
        <f t="shared" si="2"/>
        <v>135</v>
      </c>
      <c r="G70" s="14"/>
      <c r="H70" s="14"/>
      <c r="I70" s="14"/>
      <c r="J70" s="2"/>
      <c r="K70" s="2"/>
      <c r="L70" s="2"/>
      <c r="M70" s="2"/>
      <c r="R70" s="1" t="s">
        <v>17</v>
      </c>
    </row>
    <row r="71" spans="1:18" x14ac:dyDescent="0.2">
      <c r="A71" t="s">
        <v>44</v>
      </c>
      <c r="B71" s="14"/>
      <c r="C71" s="14"/>
      <c r="D71" s="14" t="s">
        <v>54</v>
      </c>
      <c r="E71" s="14"/>
      <c r="F71" s="14">
        <f t="shared" si="2"/>
        <v>139</v>
      </c>
      <c r="G71" s="14"/>
      <c r="H71" s="14"/>
      <c r="I71" s="14"/>
      <c r="J71" s="2"/>
      <c r="K71" s="2"/>
      <c r="L71" s="2"/>
      <c r="M71" s="2"/>
      <c r="R71" s="1" t="s">
        <v>18</v>
      </c>
    </row>
    <row r="72" spans="1:18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8" x14ac:dyDescent="0.2">
      <c r="A73" t="s">
        <v>52</v>
      </c>
      <c r="B73" s="2"/>
      <c r="C73" s="2"/>
      <c r="D73" s="2">
        <f t="shared" ref="D73:M73" si="3">+SUM(D59:D71)</f>
        <v>4774.84</v>
      </c>
      <c r="E73" s="2">
        <f t="shared" si="3"/>
        <v>731</v>
      </c>
      <c r="F73" s="2">
        <f t="shared" si="3"/>
        <v>3556</v>
      </c>
      <c r="G73" s="2">
        <f t="shared" si="3"/>
        <v>264</v>
      </c>
      <c r="H73" s="2">
        <f t="shared" si="3"/>
        <v>5571</v>
      </c>
      <c r="I73" s="2">
        <f t="shared" si="3"/>
        <v>192</v>
      </c>
      <c r="J73" s="2">
        <f t="shared" si="3"/>
        <v>200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>+SUM(B73:M73)</f>
        <v>15288.84</v>
      </c>
    </row>
    <row r="76" spans="1:18" x14ac:dyDescent="0.2">
      <c r="A76" s="4" t="s">
        <v>100</v>
      </c>
      <c r="B76" s="10"/>
      <c r="C76" s="10"/>
      <c r="D76" s="10"/>
      <c r="E76" s="10"/>
      <c r="F76" s="14"/>
      <c r="G76" s="2"/>
      <c r="H76" s="2"/>
    </row>
    <row r="77" spans="1:18" x14ac:dyDescent="0.2">
      <c r="B77" s="10"/>
      <c r="C77" s="10"/>
      <c r="D77" s="10"/>
      <c r="E77" s="10"/>
      <c r="F77" s="14"/>
      <c r="G77" s="2"/>
      <c r="H77" s="2"/>
    </row>
    <row r="78" spans="1:18" x14ac:dyDescent="0.2">
      <c r="B78" s="10"/>
      <c r="C78" s="5"/>
      <c r="D78" s="5" t="s">
        <v>23</v>
      </c>
      <c r="E78" s="13"/>
      <c r="F78" s="14"/>
      <c r="G78" s="2"/>
      <c r="H78" s="2"/>
    </row>
    <row r="79" spans="1:18" x14ac:dyDescent="0.2">
      <c r="A79" t="s">
        <v>51</v>
      </c>
      <c r="B79" s="10"/>
      <c r="C79" s="10"/>
      <c r="D79" s="28" t="s">
        <v>64</v>
      </c>
      <c r="E79" s="13"/>
      <c r="F79" s="14"/>
      <c r="G79" s="2"/>
      <c r="H79" s="2"/>
    </row>
    <row r="80" spans="1:18" x14ac:dyDescent="0.2">
      <c r="A80" s="6"/>
      <c r="B80" s="12"/>
      <c r="C80" s="7"/>
      <c r="D80" s="7">
        <v>2030</v>
      </c>
      <c r="E80" s="8"/>
      <c r="F80" s="14"/>
      <c r="G80" s="2"/>
      <c r="H80" s="2"/>
    </row>
    <row r="81" spans="1:8" x14ac:dyDescent="0.2">
      <c r="A81" t="s">
        <v>28</v>
      </c>
      <c r="B81" s="13"/>
      <c r="C81" s="13"/>
      <c r="D81" s="14">
        <f t="shared" ref="D81:D87" si="4">+G35</f>
        <v>264</v>
      </c>
      <c r="E81" s="16"/>
      <c r="F81" s="14"/>
      <c r="G81" s="2"/>
      <c r="H81" s="2"/>
    </row>
    <row r="82" spans="1:8" x14ac:dyDescent="0.2">
      <c r="A82" t="s">
        <v>31</v>
      </c>
      <c r="B82" s="13"/>
      <c r="C82" s="13"/>
      <c r="D82" s="14">
        <f t="shared" si="4"/>
        <v>4774.84</v>
      </c>
      <c r="E82" s="16"/>
      <c r="F82" s="14"/>
      <c r="G82" s="2"/>
      <c r="H82" s="2"/>
    </row>
    <row r="83" spans="1:8" x14ac:dyDescent="0.2">
      <c r="A83" t="s">
        <v>37</v>
      </c>
      <c r="B83" s="13"/>
      <c r="C83" s="13"/>
      <c r="D83" s="14">
        <f t="shared" si="4"/>
        <v>731</v>
      </c>
      <c r="E83" s="16"/>
      <c r="F83" s="14"/>
      <c r="G83" s="2"/>
      <c r="H83" s="2"/>
    </row>
    <row r="84" spans="1:8" x14ac:dyDescent="0.2">
      <c r="A84" t="s">
        <v>38</v>
      </c>
      <c r="B84" s="10"/>
      <c r="C84" s="13"/>
      <c r="D84" s="14">
        <f t="shared" si="4"/>
        <v>3556</v>
      </c>
      <c r="E84" s="16"/>
      <c r="F84" s="14"/>
      <c r="G84" s="2"/>
      <c r="H84" s="2"/>
    </row>
    <row r="85" spans="1:8" x14ac:dyDescent="0.2">
      <c r="A85" t="s">
        <v>45</v>
      </c>
      <c r="B85" s="10"/>
      <c r="C85" s="13"/>
      <c r="D85" s="14">
        <f t="shared" si="4"/>
        <v>5571</v>
      </c>
      <c r="E85" s="16"/>
      <c r="F85" s="14"/>
      <c r="G85" s="2"/>
      <c r="H85" s="2"/>
    </row>
    <row r="86" spans="1:8" x14ac:dyDescent="0.2">
      <c r="A86" t="s">
        <v>46</v>
      </c>
      <c r="B86" s="10"/>
      <c r="C86" s="13"/>
      <c r="D86" s="14">
        <f t="shared" si="4"/>
        <v>192</v>
      </c>
      <c r="E86" s="16"/>
      <c r="F86" s="14"/>
      <c r="G86" s="2"/>
      <c r="H86" s="2"/>
    </row>
    <row r="87" spans="1:8" x14ac:dyDescent="0.2">
      <c r="A87" t="s">
        <v>47</v>
      </c>
      <c r="B87" s="10"/>
      <c r="C87" s="13"/>
      <c r="D87" s="14">
        <f t="shared" si="4"/>
        <v>200</v>
      </c>
      <c r="E87" s="14"/>
      <c r="F87" s="14"/>
      <c r="G87" s="2"/>
      <c r="H87" s="2"/>
    </row>
    <row r="88" spans="1:8" x14ac:dyDescent="0.2">
      <c r="A88" t="s">
        <v>48</v>
      </c>
      <c r="B88" s="10"/>
      <c r="C88" s="13"/>
      <c r="D88" s="14"/>
      <c r="E88" s="14"/>
      <c r="F88" s="14"/>
      <c r="G88" s="2"/>
      <c r="H88" s="2"/>
    </row>
    <row r="89" spans="1:8" x14ac:dyDescent="0.2">
      <c r="A89" t="s">
        <v>49</v>
      </c>
      <c r="B89" s="10"/>
      <c r="C89" s="10"/>
      <c r="D89" s="14"/>
      <c r="E89" s="14"/>
      <c r="F89" s="14"/>
      <c r="G89" s="2"/>
      <c r="H89" s="2"/>
    </row>
    <row r="90" spans="1:8" x14ac:dyDescent="0.2">
      <c r="A90" s="6" t="s">
        <v>50</v>
      </c>
      <c r="B90" s="12"/>
      <c r="C90" s="12"/>
      <c r="D90" s="15"/>
      <c r="E90" s="15"/>
      <c r="F90" s="14"/>
      <c r="G90" s="2"/>
      <c r="H90" s="2"/>
    </row>
    <row r="91" spans="1:8" x14ac:dyDescent="0.2">
      <c r="D91" s="2"/>
      <c r="E91" s="2"/>
      <c r="F91" s="2"/>
      <c r="G91" s="2"/>
      <c r="H91" s="2"/>
    </row>
    <row r="92" spans="1:8" x14ac:dyDescent="0.2">
      <c r="A92" t="s">
        <v>52</v>
      </c>
      <c r="C92" s="2"/>
      <c r="D92" s="2">
        <f>+SUM(D81:D90)</f>
        <v>15288.84</v>
      </c>
      <c r="E92" s="2"/>
      <c r="F92" s="2"/>
      <c r="G92" s="2"/>
      <c r="H92" s="2"/>
    </row>
    <row r="93" spans="1:8" x14ac:dyDescent="0.2">
      <c r="D93" s="2"/>
      <c r="E93" s="2"/>
      <c r="F93" s="2"/>
      <c r="G93" s="2"/>
      <c r="H93" s="2"/>
    </row>
    <row r="94" spans="1:8" x14ac:dyDescent="0.2">
      <c r="A94" s="4" t="s">
        <v>101</v>
      </c>
      <c r="B94" s="10"/>
      <c r="C94" s="10"/>
      <c r="D94" s="10"/>
      <c r="E94" s="10"/>
      <c r="F94" s="2"/>
      <c r="G94" s="2"/>
      <c r="H94" s="2"/>
    </row>
    <row r="95" spans="1:8" x14ac:dyDescent="0.2">
      <c r="B95" s="10"/>
      <c r="C95" s="10"/>
      <c r="D95" s="10"/>
      <c r="E95" s="10"/>
      <c r="F95" s="2"/>
      <c r="G95" s="2"/>
      <c r="H95" s="2"/>
    </row>
    <row r="96" spans="1:8" x14ac:dyDescent="0.2">
      <c r="B96" s="10"/>
      <c r="C96" s="5"/>
      <c r="D96" s="5" t="s">
        <v>53</v>
      </c>
      <c r="E96" s="10"/>
      <c r="F96" s="2"/>
      <c r="G96" s="2"/>
      <c r="H96" s="2"/>
    </row>
    <row r="97" spans="1:8" x14ac:dyDescent="0.2">
      <c r="B97" s="10"/>
      <c r="C97" s="10"/>
      <c r="D97" s="10" t="s">
        <v>65</v>
      </c>
      <c r="E97" s="13"/>
      <c r="F97" s="2"/>
      <c r="G97" s="2"/>
      <c r="H97" s="2"/>
    </row>
    <row r="98" spans="1:8" x14ac:dyDescent="0.2">
      <c r="A98" s="6"/>
      <c r="B98" s="12"/>
      <c r="C98" s="12"/>
      <c r="D98" s="7">
        <v>2030</v>
      </c>
      <c r="E98" s="8"/>
      <c r="F98" s="2"/>
      <c r="G98" s="2"/>
      <c r="H98" s="2"/>
    </row>
    <row r="99" spans="1:8" x14ac:dyDescent="0.2">
      <c r="A99" t="s">
        <v>28</v>
      </c>
      <c r="B99" s="10"/>
      <c r="C99" s="14"/>
      <c r="D99" s="14">
        <f t="shared" ref="D99:D105" si="5">+F35</f>
        <v>1271.6399999999999</v>
      </c>
      <c r="E99" s="16"/>
      <c r="F99" s="2"/>
      <c r="G99" s="2"/>
      <c r="H99" s="2"/>
    </row>
    <row r="100" spans="1:8" x14ac:dyDescent="0.2">
      <c r="A100" t="s">
        <v>31</v>
      </c>
      <c r="B100" s="10"/>
      <c r="C100" s="14"/>
      <c r="D100" s="14">
        <f t="shared" si="5"/>
        <v>32183.24</v>
      </c>
      <c r="E100" s="16"/>
      <c r="F100" s="2"/>
      <c r="G100" s="2"/>
      <c r="H100" s="2"/>
    </row>
    <row r="101" spans="1:8" x14ac:dyDescent="0.2">
      <c r="A101" t="s">
        <v>37</v>
      </c>
      <c r="B101" s="10"/>
      <c r="C101" s="14"/>
      <c r="D101" s="14">
        <f t="shared" si="5"/>
        <v>815.8</v>
      </c>
      <c r="E101" s="16"/>
      <c r="F101" s="2"/>
      <c r="G101" s="2"/>
      <c r="H101" s="2"/>
    </row>
    <row r="102" spans="1:8" x14ac:dyDescent="0.2">
      <c r="A102" t="s">
        <v>38</v>
      </c>
      <c r="B102" s="10"/>
      <c r="C102" s="14"/>
      <c r="D102" s="14">
        <f t="shared" si="5"/>
        <v>2018.6</v>
      </c>
      <c r="E102" s="16"/>
      <c r="F102" s="2"/>
      <c r="G102" s="2"/>
      <c r="H102" s="2"/>
    </row>
    <row r="103" spans="1:8" x14ac:dyDescent="0.2">
      <c r="A103" t="s">
        <v>45</v>
      </c>
      <c r="B103" s="10"/>
      <c r="C103" s="14"/>
      <c r="D103" s="14">
        <f t="shared" si="5"/>
        <v>29281.18</v>
      </c>
      <c r="E103" s="16"/>
      <c r="F103" s="2"/>
      <c r="G103" s="2"/>
      <c r="H103" s="2"/>
    </row>
    <row r="104" spans="1:8" x14ac:dyDescent="0.2">
      <c r="A104" t="s">
        <v>46</v>
      </c>
      <c r="B104" s="10"/>
      <c r="C104" s="14"/>
      <c r="D104" s="14">
        <f t="shared" si="5"/>
        <v>420.48</v>
      </c>
      <c r="E104" s="16"/>
      <c r="F104" s="2"/>
      <c r="G104" s="2"/>
      <c r="H104" s="2"/>
    </row>
    <row r="105" spans="1:8" x14ac:dyDescent="0.2">
      <c r="A105" t="s">
        <v>47</v>
      </c>
      <c r="B105" s="10"/>
      <c r="C105" s="14"/>
      <c r="D105" s="14">
        <f t="shared" si="5"/>
        <v>438</v>
      </c>
      <c r="E105" s="14"/>
      <c r="F105" s="2"/>
      <c r="G105" s="2"/>
      <c r="H105" s="2"/>
    </row>
    <row r="106" spans="1:8" x14ac:dyDescent="0.2">
      <c r="A106" t="s">
        <v>48</v>
      </c>
      <c r="B106" s="10"/>
      <c r="C106" s="14"/>
      <c r="D106" s="14"/>
      <c r="E106" s="14"/>
      <c r="F106" s="2"/>
      <c r="G106" s="2"/>
      <c r="H106" s="2"/>
    </row>
    <row r="107" spans="1:8" x14ac:dyDescent="0.2">
      <c r="A107" t="s">
        <v>49</v>
      </c>
      <c r="B107" s="10"/>
      <c r="C107" s="10"/>
      <c r="D107" s="14"/>
      <c r="E107" s="14"/>
      <c r="F107" s="2"/>
      <c r="G107" s="2"/>
      <c r="H107" s="2"/>
    </row>
    <row r="108" spans="1:8" x14ac:dyDescent="0.2">
      <c r="A108" s="6" t="s">
        <v>50</v>
      </c>
      <c r="B108" s="12"/>
      <c r="C108" s="12"/>
      <c r="D108" s="15"/>
      <c r="E108" s="15"/>
      <c r="F108" s="2"/>
      <c r="G108" s="2"/>
      <c r="H108" s="2"/>
    </row>
    <row r="109" spans="1:8" x14ac:dyDescent="0.2">
      <c r="B109" s="10"/>
      <c r="C109" s="10"/>
      <c r="D109" s="14"/>
      <c r="E109" s="14"/>
      <c r="F109" s="2"/>
      <c r="G109" s="2"/>
      <c r="H109" s="2"/>
    </row>
    <row r="110" spans="1:8" x14ac:dyDescent="0.2">
      <c r="A110" t="s">
        <v>52</v>
      </c>
      <c r="B110" s="10"/>
      <c r="C110" s="14"/>
      <c r="D110" s="14">
        <f>+SUM(D99:D108)</f>
        <v>66428.94</v>
      </c>
      <c r="E110" s="14"/>
      <c r="F110" s="2"/>
      <c r="G110" s="2"/>
      <c r="H110" s="2"/>
    </row>
    <row r="111" spans="1:8" x14ac:dyDescent="0.2">
      <c r="D111" s="2"/>
      <c r="E111" s="2"/>
      <c r="F111" s="2"/>
      <c r="G111" s="2"/>
      <c r="H111" s="2"/>
    </row>
    <row r="113" spans="1:5" x14ac:dyDescent="0.2">
      <c r="A113" s="4" t="s">
        <v>102</v>
      </c>
      <c r="E113" s="10"/>
    </row>
    <row r="114" spans="1:5" x14ac:dyDescent="0.2">
      <c r="E114" s="10"/>
    </row>
    <row r="115" spans="1:5" x14ac:dyDescent="0.2">
      <c r="B115" s="32" t="s">
        <v>66</v>
      </c>
      <c r="C115" s="32"/>
      <c r="E115" s="10"/>
    </row>
    <row r="116" spans="1:5" x14ac:dyDescent="0.2">
      <c r="B116" s="10"/>
      <c r="C116" s="10" t="s">
        <v>65</v>
      </c>
      <c r="D116" s="3" t="s">
        <v>24</v>
      </c>
      <c r="E116" s="10"/>
    </row>
    <row r="117" spans="1:5" x14ac:dyDescent="0.2">
      <c r="A117" s="6" t="s">
        <v>25</v>
      </c>
      <c r="B117" s="7"/>
      <c r="C117" s="7">
        <v>2030</v>
      </c>
      <c r="D117" s="8" t="s">
        <v>27</v>
      </c>
      <c r="E117" s="10"/>
    </row>
    <row r="118" spans="1:5" x14ac:dyDescent="0.2">
      <c r="A118" t="s">
        <v>54</v>
      </c>
      <c r="E118" s="10"/>
    </row>
    <row r="119" spans="1:5" x14ac:dyDescent="0.2">
      <c r="A119" t="s">
        <v>60</v>
      </c>
      <c r="B119" s="2"/>
      <c r="C119" s="2">
        <f>+E29/1000000</f>
        <v>1817.1539</v>
      </c>
      <c r="E119" s="10"/>
    </row>
    <row r="120" spans="1:5" x14ac:dyDescent="0.2">
      <c r="A120" s="6"/>
      <c r="B120" s="6"/>
      <c r="C120" s="6"/>
      <c r="D120" s="6"/>
      <c r="E120" s="10"/>
    </row>
    <row r="121" spans="1:5" x14ac:dyDescent="0.2">
      <c r="B121" s="10"/>
      <c r="C121" s="10"/>
      <c r="D121" s="10"/>
      <c r="E121" s="10"/>
    </row>
    <row r="122" spans="1:5" x14ac:dyDescent="0.2">
      <c r="B122" s="10"/>
      <c r="C122" s="10"/>
      <c r="D122" s="10"/>
      <c r="E122" s="10"/>
    </row>
    <row r="123" spans="1:5" x14ac:dyDescent="0.2">
      <c r="A123" s="4" t="s">
        <v>103</v>
      </c>
      <c r="E123" s="10"/>
    </row>
    <row r="124" spans="1:5" x14ac:dyDescent="0.2">
      <c r="E124" s="10"/>
    </row>
    <row r="125" spans="1:5" x14ac:dyDescent="0.2">
      <c r="B125" s="32" t="s">
        <v>67</v>
      </c>
      <c r="C125" s="32"/>
      <c r="E125" s="10"/>
    </row>
    <row r="126" spans="1:5" x14ac:dyDescent="0.2">
      <c r="B126" s="10"/>
      <c r="C126" s="10" t="s">
        <v>65</v>
      </c>
      <c r="D126" s="3" t="s">
        <v>24</v>
      </c>
      <c r="E126" s="10"/>
    </row>
    <row r="127" spans="1:5" x14ac:dyDescent="0.2">
      <c r="A127" s="6" t="s">
        <v>25</v>
      </c>
      <c r="B127" s="7"/>
      <c r="C127" s="7">
        <v>2030</v>
      </c>
      <c r="D127" s="8" t="s">
        <v>27</v>
      </c>
      <c r="E127" s="10"/>
    </row>
    <row r="128" spans="1:5" x14ac:dyDescent="0.2">
      <c r="A128" t="s">
        <v>54</v>
      </c>
      <c r="E128" s="10"/>
    </row>
    <row r="129" spans="1:7" x14ac:dyDescent="0.2">
      <c r="A129" t="s">
        <v>60</v>
      </c>
      <c r="B129" s="2"/>
      <c r="C129" s="2">
        <f>+C119+SUM(A29:C29)/1000000</f>
        <v>2912.2398891000003</v>
      </c>
      <c r="E129" s="10"/>
    </row>
    <row r="130" spans="1:7" x14ac:dyDescent="0.2">
      <c r="A130" s="6"/>
      <c r="B130" s="6"/>
      <c r="C130" s="6"/>
      <c r="D130" s="6"/>
      <c r="E130" s="10"/>
    </row>
    <row r="131" spans="1:7" x14ac:dyDescent="0.2">
      <c r="B131" s="10"/>
      <c r="C131" s="10"/>
      <c r="D131" s="10"/>
      <c r="E131" s="10"/>
    </row>
    <row r="132" spans="1:7" x14ac:dyDescent="0.2">
      <c r="B132" s="10"/>
      <c r="C132" s="10"/>
      <c r="D132" s="10"/>
      <c r="E132" s="10"/>
    </row>
    <row r="133" spans="1:7" x14ac:dyDescent="0.2">
      <c r="A133" s="4" t="s">
        <v>104</v>
      </c>
      <c r="E133" s="10"/>
    </row>
    <row r="134" spans="1:7" x14ac:dyDescent="0.2">
      <c r="A134" s="4" t="s">
        <v>55</v>
      </c>
      <c r="E134" s="10"/>
    </row>
    <row r="135" spans="1:7" x14ac:dyDescent="0.2">
      <c r="E135" s="10"/>
    </row>
    <row r="136" spans="1:7" x14ac:dyDescent="0.2">
      <c r="B136" s="10" t="s">
        <v>64</v>
      </c>
      <c r="C136" s="10" t="s">
        <v>65</v>
      </c>
      <c r="D136" s="3" t="s">
        <v>24</v>
      </c>
      <c r="E136" s="10"/>
    </row>
    <row r="137" spans="1:7" x14ac:dyDescent="0.2">
      <c r="A137" s="6"/>
      <c r="B137" s="7">
        <v>2030</v>
      </c>
      <c r="C137" s="7">
        <v>2030</v>
      </c>
      <c r="D137" s="8" t="s">
        <v>27</v>
      </c>
      <c r="E137" s="10"/>
    </row>
    <row r="138" spans="1:7" x14ac:dyDescent="0.2">
      <c r="A138" t="s">
        <v>56</v>
      </c>
      <c r="B138" s="2"/>
      <c r="C138" s="2">
        <f>+A27*1000</f>
        <v>253490</v>
      </c>
      <c r="G138" s="2" t="s">
        <v>54</v>
      </c>
    </row>
    <row r="139" spans="1:7" x14ac:dyDescent="0.2">
      <c r="A139" t="s">
        <v>57</v>
      </c>
      <c r="B139" s="2"/>
      <c r="C139" s="2">
        <f>+B27*1000</f>
        <v>239170</v>
      </c>
      <c r="E139" s="10"/>
    </row>
    <row r="140" spans="1:7" x14ac:dyDescent="0.2">
      <c r="A140" t="s">
        <v>58</v>
      </c>
      <c r="B140" s="2"/>
      <c r="C140" s="2">
        <f>+C27*1000</f>
        <v>98860</v>
      </c>
      <c r="E140" s="10"/>
    </row>
    <row r="141" spans="1:7" ht="15.75" x14ac:dyDescent="0.3">
      <c r="A141" s="1" t="s">
        <v>59</v>
      </c>
      <c r="B141" s="2"/>
      <c r="C141" s="2">
        <f>+D27*1000</f>
        <v>27174340</v>
      </c>
      <c r="E141" s="10"/>
    </row>
    <row r="142" spans="1:7" x14ac:dyDescent="0.2">
      <c r="A142" s="6"/>
      <c r="B142" s="6"/>
      <c r="C142" s="6"/>
      <c r="D142" s="6"/>
      <c r="E142" s="10"/>
    </row>
    <row r="143" spans="1:7" x14ac:dyDescent="0.2">
      <c r="B143" s="10"/>
      <c r="C143" s="10"/>
      <c r="D143" s="10"/>
      <c r="E143" s="10"/>
    </row>
    <row r="144" spans="1:7" x14ac:dyDescent="0.2">
      <c r="B144" s="10"/>
      <c r="C144" s="10"/>
      <c r="D144" s="10"/>
      <c r="E144" s="10"/>
    </row>
    <row r="145" spans="1:5" x14ac:dyDescent="0.2">
      <c r="B145" s="10"/>
      <c r="C145" s="10"/>
      <c r="D145" s="10"/>
      <c r="E145" s="10"/>
    </row>
    <row r="146" spans="1:5" x14ac:dyDescent="0.2">
      <c r="A146" s="9" t="s">
        <v>84</v>
      </c>
      <c r="B146" s="10"/>
      <c r="C146" s="10"/>
      <c r="D146" s="10"/>
      <c r="E146" s="10"/>
    </row>
    <row r="147" spans="1:5" x14ac:dyDescent="0.2">
      <c r="B147" s="10"/>
      <c r="C147" s="10"/>
      <c r="D147" s="10"/>
      <c r="E147" s="10"/>
    </row>
    <row r="148" spans="1:5" x14ac:dyDescent="0.2">
      <c r="B148" s="10"/>
      <c r="C148" s="10"/>
      <c r="D148" s="10"/>
      <c r="E148" s="10"/>
    </row>
    <row r="149" spans="1:5" x14ac:dyDescent="0.2">
      <c r="B149" s="10"/>
      <c r="C149" s="10"/>
      <c r="D149" s="10"/>
      <c r="E149" s="10"/>
    </row>
    <row r="150" spans="1:5" x14ac:dyDescent="0.2">
      <c r="B150" s="10"/>
      <c r="C150" s="10"/>
      <c r="D150" s="10"/>
      <c r="E150" s="10"/>
    </row>
    <row r="151" spans="1:5" x14ac:dyDescent="0.2">
      <c r="B151" s="10"/>
      <c r="C151" s="10"/>
      <c r="D151" s="10"/>
      <c r="E151" s="10"/>
    </row>
  </sheetData>
  <mergeCells count="2">
    <mergeCell ref="B115:C115"/>
    <mergeCell ref="B125:C125"/>
  </mergeCells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preg1-Norma</vt:lpstr>
      <vt:lpstr>preg2-Optima</vt:lpstr>
      <vt:lpstr>preg1 sin politica</vt:lpstr>
    </vt:vector>
  </TitlesOfParts>
  <Company>Aes Gener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CMunozM</dc:creator>
  <cp:lastModifiedBy>Diego Patricio Garcés Pino</cp:lastModifiedBy>
  <dcterms:created xsi:type="dcterms:W3CDTF">2011-09-07T01:25:19Z</dcterms:created>
  <dcterms:modified xsi:type="dcterms:W3CDTF">2025-11-21T02:28:50Z</dcterms:modified>
</cp:coreProperties>
</file>