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egoYera\Desktop\2025-2\Econo_Med\Tareas_Economed\T3\"/>
    </mc:Choice>
  </mc:AlternateContent>
  <xr:revisionPtr revIDLastSave="0" documentId="13_ncr:1_{81228247-B96C-4723-84EE-176D6660C0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g1-Norma" sheetId="6" r:id="rId1"/>
    <sheet name="preg2- Pol Optima" sheetId="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0" i="6" l="1"/>
  <c r="E59" i="6"/>
  <c r="E58" i="6"/>
  <c r="E57" i="6"/>
  <c r="E42" i="6"/>
  <c r="E41" i="6"/>
  <c r="E40" i="6"/>
  <c r="E39" i="6"/>
  <c r="E60" i="5" l="1"/>
  <c r="E59" i="5"/>
  <c r="E58" i="5"/>
  <c r="E57" i="5"/>
  <c r="E42" i="5"/>
  <c r="E41" i="5"/>
  <c r="E40" i="5"/>
  <c r="E39" i="5"/>
  <c r="E53" i="5"/>
  <c r="E25" i="6"/>
  <c r="D25" i="6"/>
  <c r="F25" i="6"/>
  <c r="C25" i="6"/>
  <c r="G25" i="6"/>
  <c r="H25" i="6"/>
  <c r="I25" i="6"/>
  <c r="J25" i="6"/>
  <c r="K25" i="6"/>
  <c r="L25" i="6"/>
  <c r="M25" i="6"/>
  <c r="E33" i="6"/>
  <c r="E34" i="6"/>
  <c r="E35" i="6"/>
  <c r="E36" i="6"/>
  <c r="E37" i="6"/>
  <c r="E38" i="6"/>
  <c r="N25" i="6" l="1"/>
  <c r="D93" i="6"/>
  <c r="D92" i="6"/>
  <c r="D91" i="6"/>
  <c r="D90" i="6"/>
  <c r="D81" i="5"/>
  <c r="D71" i="6"/>
  <c r="G25" i="5"/>
  <c r="C25" i="5"/>
  <c r="D25" i="5"/>
  <c r="E25" i="5"/>
  <c r="F25" i="5"/>
  <c r="I25" i="5"/>
  <c r="J25" i="5"/>
  <c r="K25" i="5"/>
  <c r="L25" i="5"/>
  <c r="M25" i="5"/>
  <c r="N25" i="5"/>
  <c r="D93" i="5"/>
  <c r="D91" i="5"/>
  <c r="E55" i="6"/>
  <c r="E38" i="5"/>
  <c r="D81" i="6"/>
  <c r="E36" i="5"/>
  <c r="E54" i="6"/>
  <c r="E54" i="5"/>
  <c r="E56" i="6"/>
  <c r="E56" i="5"/>
  <c r="D62" i="5"/>
  <c r="E52" i="6"/>
  <c r="E52" i="5"/>
  <c r="D62" i="6"/>
  <c r="E35" i="5"/>
  <c r="H25" i="5"/>
  <c r="E53" i="6"/>
  <c r="E33" i="5"/>
  <c r="D44" i="6"/>
  <c r="D44" i="5"/>
  <c r="E51" i="6"/>
  <c r="C62" i="6"/>
  <c r="C44" i="6"/>
  <c r="O25" i="5" l="1"/>
  <c r="E55" i="5"/>
  <c r="D90" i="5"/>
  <c r="D92" i="5"/>
  <c r="E37" i="5"/>
  <c r="E34" i="5"/>
  <c r="D71" i="5"/>
  <c r="E51" i="5"/>
  <c r="C62" i="5"/>
  <c r="C4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tc={06E57626-9CE7-429F-88E6-45EABD3D66A7}</author>
    <author>tc={296795C4-53E6-4E50-9C97-E112B69AFFA3}</author>
    <author>tc={68DBC726-830E-4B4F-8DFC-E8B8F5704E53}</author>
    <author>tc={21BE1576-2CFE-42FC-8E12-0FA77D17148F}</author>
    <author>tc={1825F0F1-3FAE-4B78-B9AB-729330E3D339}</author>
    <author>tc={0AE2A14C-B56C-497D-A160-99CA61C3490A}</author>
    <author>tc={9F3AD5C0-7625-4665-8823-0F980183C9E9}</author>
  </authors>
  <commentList>
    <comment ref="E12" authorId="0" shapeId="0" xr:uid="{06E57626-9CE7-429F-88E6-45EABD3D66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según pauta es 0</t>
      </text>
    </comment>
    <comment ref="E15" authorId="1" shapeId="0" xr:uid="{296795C4-53E6-4E50-9C97-E112B69AF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según pauta es 0</t>
      </text>
    </comment>
    <comment ref="C16" authorId="2" shapeId="0" xr:uid="{68DBC726-830E-4B4F-8DFC-E8B8F5704E5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Según pauta 1.664 </t>
      </text>
    </comment>
    <comment ref="E17" authorId="3" shapeId="0" xr:uid="{21BE1576-2CFE-42FC-8E12-0FA77D17148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según pauta es 0
</t>
      </text>
    </comment>
    <comment ref="C18" authorId="4" shapeId="0" xr:uid="{1825F0F1-3FAE-4B78-B9AB-729330E3D339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Según pauta debe ser 0
</t>
      </text>
    </comment>
    <comment ref="E18" authorId="5" shapeId="0" xr:uid="{0AE2A14C-B56C-497D-A160-99CA61C349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según pauta debería ser menos</t>
      </text>
    </comment>
    <comment ref="G21" authorId="6" shapeId="0" xr:uid="{9F3AD5C0-7625-4665-8823-0F980183C9E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Según pauta esto es 7.071</t>
      </text>
    </comment>
  </commentList>
</comments>
</file>

<file path=xl/sharedStrings.xml><?xml version="1.0" encoding="utf-8"?>
<sst xmlns="http://schemas.openxmlformats.org/spreadsheetml/2006/main" count="226" uniqueCount="82">
  <si>
    <t>Problema 2- T2</t>
  </si>
  <si>
    <t>ponderación problema</t>
  </si>
  <si>
    <t>Tabla 1.1 Capacidad instalada (MW neto), con Norma</t>
  </si>
  <si>
    <t>Ubicación</t>
  </si>
  <si>
    <t>Código</t>
  </si>
  <si>
    <r>
      <t xml:space="preserve">Carbón </t>
    </r>
    <r>
      <rPr>
        <vertAlign val="subscript"/>
        <sz val="10"/>
        <rFont val="Arial"/>
        <family val="2"/>
      </rPr>
      <t>i</t>
    </r>
  </si>
  <si>
    <r>
      <t>CC-GNL</t>
    </r>
    <r>
      <rPr>
        <vertAlign val="subscript"/>
        <sz val="10"/>
        <rFont val="Arial"/>
        <family val="2"/>
      </rPr>
      <t>i</t>
    </r>
  </si>
  <si>
    <r>
      <t xml:space="preserve">Diesel </t>
    </r>
    <r>
      <rPr>
        <vertAlign val="subscript"/>
        <sz val="10"/>
        <rFont val="Arial"/>
        <family val="2"/>
      </rPr>
      <t>i</t>
    </r>
  </si>
  <si>
    <t>Biomasa</t>
  </si>
  <si>
    <t>Hidro</t>
  </si>
  <si>
    <t>Eolica</t>
  </si>
  <si>
    <t>Solar</t>
  </si>
  <si>
    <t>Geotermia</t>
  </si>
  <si>
    <t>minihidro</t>
  </si>
  <si>
    <t>Falla</t>
  </si>
  <si>
    <t>Diego de Almagro</t>
  </si>
  <si>
    <t>DAl</t>
  </si>
  <si>
    <t>Cardones</t>
  </si>
  <si>
    <t>car</t>
  </si>
  <si>
    <t>Huasco</t>
  </si>
  <si>
    <t>Hua</t>
  </si>
  <si>
    <t>Pan de Azucar</t>
  </si>
  <si>
    <t>PAz</t>
  </si>
  <si>
    <t>Los Vilos</t>
  </si>
  <si>
    <t>LVi</t>
  </si>
  <si>
    <t>Quillota</t>
  </si>
  <si>
    <t>Qui</t>
  </si>
  <si>
    <t>Valparaíso</t>
  </si>
  <si>
    <t>Vap</t>
  </si>
  <si>
    <t>RM</t>
  </si>
  <si>
    <t>RMe</t>
  </si>
  <si>
    <t>Itahue</t>
  </si>
  <si>
    <t>Ita</t>
  </si>
  <si>
    <t>Coronel</t>
  </si>
  <si>
    <t>Cor</t>
  </si>
  <si>
    <t>Charrua</t>
  </si>
  <si>
    <t>Cha</t>
  </si>
  <si>
    <t>Valdivia</t>
  </si>
  <si>
    <t>Val</t>
  </si>
  <si>
    <t>Puerto Montt</t>
  </si>
  <si>
    <t>PMo</t>
  </si>
  <si>
    <t>Total</t>
  </si>
  <si>
    <t>i: indice que indica el tipo de filtros que usa la central.</t>
  </si>
  <si>
    <t>Tabla 1.2 Capacidad instalada (MW neto), comparación respecto caso sin política ambiental</t>
  </si>
  <si>
    <t xml:space="preserve">    Potencia neta</t>
  </si>
  <si>
    <t>Resumen</t>
  </si>
  <si>
    <t>sin política</t>
  </si>
  <si>
    <t>con norma</t>
  </si>
  <si>
    <t>Incremento *</t>
  </si>
  <si>
    <t>%</t>
  </si>
  <si>
    <t>Carbón</t>
  </si>
  <si>
    <t>CC-GNL</t>
  </si>
  <si>
    <t>Petróleo Diesel</t>
  </si>
  <si>
    <t>Central de falla</t>
  </si>
  <si>
    <t>Tabla 1.3 Resumen generación (GWh por año)</t>
  </si>
  <si>
    <t xml:space="preserve">    Generación</t>
  </si>
  <si>
    <t xml:space="preserve"> </t>
  </si>
  <si>
    <t>Tabla 1.4 Costo total del sistema     MMUS$/ año</t>
  </si>
  <si>
    <t>costos: inv+op+fall</t>
  </si>
  <si>
    <t>Tipo</t>
  </si>
  <si>
    <t>Costo</t>
  </si>
  <si>
    <t>Tabla 1.5 Beneficio norma    MMUS$/ año</t>
  </si>
  <si>
    <t>costos: inv+op+fall+costo social</t>
  </si>
  <si>
    <t>Tabla 1.6 Contabilidad ambiental emisiones</t>
  </si>
  <si>
    <t xml:space="preserve">             toneladas por año</t>
  </si>
  <si>
    <t>MP</t>
  </si>
  <si>
    <t>SOx</t>
  </si>
  <si>
    <t>NOx</t>
  </si>
  <si>
    <r>
      <t>CO</t>
    </r>
    <r>
      <rPr>
        <vertAlign val="subscript"/>
        <sz val="10"/>
        <rFont val="Arial"/>
        <family val="2"/>
      </rPr>
      <t>2</t>
    </r>
  </si>
  <si>
    <t>Nota: * se refiere al incremento porcentual del caso con norma respecto del caso sin norma.</t>
  </si>
  <si>
    <t>Problema 3- T2</t>
  </si>
  <si>
    <t>Tabla 2.1 Capacidad instalada (MW neto), con política eficiente</t>
  </si>
  <si>
    <t>Tabla 2.2 Capacidad instalada (MW neto), comparación respecto caso con norma</t>
  </si>
  <si>
    <t>política eficiente</t>
  </si>
  <si>
    <t>Tabla 2.3 Resumen generación (GWh por año)</t>
  </si>
  <si>
    <t>Tabla 2.4 Costo total del sistema     MMUS$/ año</t>
  </si>
  <si>
    <t>costo inv+op+fal</t>
  </si>
  <si>
    <t>Tabla 2.5 Beneficio norma    MMUS$/ año</t>
  </si>
  <si>
    <t>costos: inv+op+fall+polución</t>
  </si>
  <si>
    <t xml:space="preserve">Tabla 2.6 Contabilidad ambiental emisiones </t>
  </si>
  <si>
    <t>w</t>
  </si>
  <si>
    <t>Nota: * se refiere al incremento porcentual del caso con política eficiente respecto del caso con norma.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</si>
</sst>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0"/>
  </numFmts>
  <fonts count="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vertAlign val="subscript"/>
      <sz val="10"/>
      <name val="Arial"/>
      <family val="2"/>
    </font>
    <font>
      <sz val="10"/>
      <color indexed="10"/>
      <name val="Arial"/>
      <family val="2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" fontId="0" fillId="0" borderId="0" xfId="0" applyNumberFormat="1"/>
    <xf numFmtId="0" fontId="3" fillId="0" borderId="0" xfId="0" applyFont="1"/>
    <xf numFmtId="164" fontId="0" fillId="0" borderId="0" xfId="0" applyNumberFormat="1" applyAlignment="1">
      <alignment horizontal="right"/>
    </xf>
    <xf numFmtId="0" fontId="0" fillId="0" borderId="1" xfId="0" applyBorder="1"/>
    <xf numFmtId="1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2" fillId="0" borderId="0" xfId="0" applyFont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/>
    </xf>
    <xf numFmtId="9" fontId="0" fillId="0" borderId="0" xfId="1" applyFont="1" applyAlignment="1">
      <alignment horizontal="right"/>
    </xf>
    <xf numFmtId="4" fontId="0" fillId="0" borderId="0" xfId="0" applyNumberFormat="1"/>
    <xf numFmtId="165" fontId="0" fillId="0" borderId="0" xfId="0" applyNumberFormat="1"/>
    <xf numFmtId="9" fontId="5" fillId="0" borderId="0" xfId="1" applyFont="1"/>
    <xf numFmtId="3" fontId="5" fillId="0" borderId="0" xfId="0" applyNumberFormat="1" applyFont="1"/>
    <xf numFmtId="0" fontId="3" fillId="2" borderId="0" xfId="0" applyFont="1" applyFill="1"/>
    <xf numFmtId="0" fontId="0" fillId="2" borderId="0" xfId="0" applyFill="1"/>
    <xf numFmtId="9" fontId="0" fillId="0" borderId="1" xfId="1" applyFont="1" applyBorder="1" applyAlignment="1">
      <alignment horizontal="right"/>
    </xf>
    <xf numFmtId="0" fontId="1" fillId="0" borderId="1" xfId="0" applyFont="1" applyBorder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295275</xdr:colOff>
      <xdr:row>5</xdr:row>
      <xdr:rowOff>105261</xdr:rowOff>
    </xdr:from>
    <xdr:to>
      <xdr:col>29</xdr:col>
      <xdr:colOff>645792</xdr:colOff>
      <xdr:row>27</xdr:row>
      <xdr:rowOff>47050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7806173-B636-1AD5-572E-10127B968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58625" y="914886"/>
          <a:ext cx="11780517" cy="3542239"/>
        </a:xfrm>
        <a:prstGeom prst="rect">
          <a:avLst/>
        </a:prstGeom>
      </xdr:spPr>
    </xdr:pic>
    <xdr:clientData/>
  </xdr:twoCellAnchor>
  <xdr:twoCellAnchor editAs="oneCell">
    <xdr:from>
      <xdr:col>6</xdr:col>
      <xdr:colOff>542925</xdr:colOff>
      <xdr:row>26</xdr:row>
      <xdr:rowOff>103632</xdr:rowOff>
    </xdr:from>
    <xdr:to>
      <xdr:col>13</xdr:col>
      <xdr:colOff>208657</xdr:colOff>
      <xdr:row>43</xdr:row>
      <xdr:rowOff>66193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583AD0-74EF-0929-4A95-06C0FB985C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81700" y="4351782"/>
          <a:ext cx="5028307" cy="2715286"/>
        </a:xfrm>
        <a:prstGeom prst="rect">
          <a:avLst/>
        </a:prstGeom>
      </xdr:spPr>
    </xdr:pic>
    <xdr:clientData/>
  </xdr:twoCellAnchor>
  <xdr:twoCellAnchor editAs="oneCell">
    <xdr:from>
      <xdr:col>6</xdr:col>
      <xdr:colOff>85724</xdr:colOff>
      <xdr:row>45</xdr:row>
      <xdr:rowOff>145618</xdr:rowOff>
    </xdr:from>
    <xdr:to>
      <xdr:col>11</xdr:col>
      <xdr:colOff>714374</xdr:colOff>
      <xdr:row>62</xdr:row>
      <xdr:rowOff>104176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D9851EA-1CE2-D0EC-4C8B-6A93AFDEC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524499" y="7470343"/>
          <a:ext cx="4467225" cy="2711283"/>
        </a:xfrm>
        <a:prstGeom prst="rect">
          <a:avLst/>
        </a:prstGeom>
      </xdr:spPr>
    </xdr:pic>
    <xdr:clientData/>
  </xdr:twoCellAnchor>
  <xdr:twoCellAnchor editAs="oneCell">
    <xdr:from>
      <xdr:col>4</xdr:col>
      <xdr:colOff>666750</xdr:colOff>
      <xdr:row>64</xdr:row>
      <xdr:rowOff>88468</xdr:rowOff>
    </xdr:from>
    <xdr:to>
      <xdr:col>9</xdr:col>
      <xdr:colOff>122523</xdr:colOff>
      <xdr:row>72</xdr:row>
      <xdr:rowOff>104775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4A33432-CFE6-2EE7-04C2-A72B125381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86275" y="10489768"/>
          <a:ext cx="3389598" cy="1311707"/>
        </a:xfrm>
        <a:prstGeom prst="rect">
          <a:avLst/>
        </a:prstGeom>
      </xdr:spPr>
    </xdr:pic>
    <xdr:clientData/>
  </xdr:twoCellAnchor>
  <xdr:twoCellAnchor editAs="oneCell">
    <xdr:from>
      <xdr:col>4</xdr:col>
      <xdr:colOff>438150</xdr:colOff>
      <xdr:row>73</xdr:row>
      <xdr:rowOff>143598</xdr:rowOff>
    </xdr:from>
    <xdr:to>
      <xdr:col>8</xdr:col>
      <xdr:colOff>704208</xdr:colOff>
      <xdr:row>82</xdr:row>
      <xdr:rowOff>9276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F940E1F-7C27-13F5-34DE-3795CB8374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57675" y="12002223"/>
          <a:ext cx="3428358" cy="1323003"/>
        </a:xfrm>
        <a:prstGeom prst="rect">
          <a:avLst/>
        </a:prstGeom>
      </xdr:spPr>
    </xdr:pic>
    <xdr:clientData/>
  </xdr:twoCellAnchor>
  <xdr:twoCellAnchor editAs="oneCell">
    <xdr:from>
      <xdr:col>4</xdr:col>
      <xdr:colOff>638176</xdr:colOff>
      <xdr:row>84</xdr:row>
      <xdr:rowOff>19051</xdr:rowOff>
    </xdr:from>
    <xdr:to>
      <xdr:col>9</xdr:col>
      <xdr:colOff>192495</xdr:colOff>
      <xdr:row>94</xdr:row>
      <xdr:rowOff>19051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303D896-240D-C318-7F24-45A1B977E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57701" y="13658851"/>
          <a:ext cx="3488144" cy="16573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iego Patricio Garcés Pino" id="{6B600A7F-53F7-4E8C-91E0-4C39613694B0}" userId="S::dpgarces@uc.cl::c5731f63-03be-4d0c-b268-a9f7470e34b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2" dT="2025-11-15T16:57:29.48" personId="{6B600A7F-53F7-4E8C-91E0-4C39613694B0}" id="{06E57626-9CE7-429F-88E6-45EABD3D66A7}">
    <text>según pauta es 0</text>
  </threadedComment>
  <threadedComment ref="E15" dT="2025-11-15T16:57:38.81" personId="{6B600A7F-53F7-4E8C-91E0-4C39613694B0}" id="{296795C4-53E6-4E50-9C97-E112B69AFFA3}">
    <text>según pauta es 0</text>
  </threadedComment>
  <threadedComment ref="C16" dT="2025-11-15T16:55:24.34" personId="{6B600A7F-53F7-4E8C-91E0-4C39613694B0}" id="{68DBC726-830E-4B4F-8DFC-E8B8F5704E53}">
    <text xml:space="preserve">Según pauta 1.664 </text>
  </threadedComment>
  <threadedComment ref="E17" dT="2025-11-15T16:59:40.30" personId="{6B600A7F-53F7-4E8C-91E0-4C39613694B0}" id="{21BE1576-2CFE-42FC-8E12-0FA77D17148F}">
    <text xml:space="preserve">según pauta es 0
</text>
  </threadedComment>
  <threadedComment ref="C18" dT="2025-11-15T16:57:07.95" personId="{6B600A7F-53F7-4E8C-91E0-4C39613694B0}" id="{1825F0F1-3FAE-4B78-B9AB-729330E3D339}">
    <text xml:space="preserve">Según pauta debe ser 0
</text>
  </threadedComment>
  <threadedComment ref="E18" dT="2025-11-15T17:00:01.01" personId="{6B600A7F-53F7-4E8C-91E0-4C39613694B0}" id="{0AE2A14C-B56C-497D-A160-99CA61C3490A}">
    <text>según pauta debería ser menos</text>
  </threadedComment>
  <threadedComment ref="G21" dT="2025-11-15T16:54:20.03" personId="{6B600A7F-53F7-4E8C-91E0-4C39613694B0}" id="{9F3AD5C0-7625-4665-8823-0F980183C9E9}">
    <text>Según pauta esto es 7.071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3"/>
  <sheetViews>
    <sheetView tabSelected="1" topLeftCell="A45" zoomScaleNormal="100" workbookViewId="0">
      <selection activeCell="C44" sqref="C44"/>
    </sheetView>
  </sheetViews>
  <sheetFormatPr baseColWidth="10" defaultColWidth="11.42578125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2.7109375" bestFit="1" customWidth="1"/>
    <col min="6" max="9" width="11.5703125" bestFit="1" customWidth="1"/>
  </cols>
  <sheetData>
    <row r="1" spans="1:13" x14ac:dyDescent="0.2">
      <c r="D1" s="2"/>
      <c r="E1" s="2"/>
      <c r="F1" s="2"/>
      <c r="G1" s="2"/>
      <c r="H1" s="2"/>
      <c r="I1" s="2"/>
    </row>
    <row r="2" spans="1:13" x14ac:dyDescent="0.2">
      <c r="A2" s="20" t="s">
        <v>0</v>
      </c>
      <c r="B2" s="21" t="s">
        <v>1</v>
      </c>
      <c r="C2" s="21"/>
      <c r="D2" s="2"/>
      <c r="E2" s="2"/>
      <c r="F2" s="2"/>
      <c r="G2" s="2"/>
      <c r="H2" s="2"/>
      <c r="I2" s="2"/>
    </row>
    <row r="3" spans="1:13" x14ac:dyDescent="0.2">
      <c r="D3" s="2"/>
      <c r="E3" s="2"/>
      <c r="F3" s="2"/>
      <c r="G3" s="2"/>
      <c r="H3" s="2"/>
      <c r="I3" s="2"/>
    </row>
    <row r="4" spans="1:13" x14ac:dyDescent="0.2">
      <c r="A4" s="4" t="s">
        <v>2</v>
      </c>
      <c r="D4" s="2"/>
      <c r="E4" s="2"/>
    </row>
    <row r="5" spans="1:13" x14ac:dyDescent="0.2">
      <c r="B5" s="10"/>
      <c r="C5" s="10"/>
      <c r="D5" s="13"/>
      <c r="E5" s="13"/>
      <c r="F5" s="13"/>
      <c r="G5" s="13"/>
      <c r="H5" s="19"/>
      <c r="J5" s="18"/>
    </row>
    <row r="6" spans="1:13" x14ac:dyDescent="0.2">
      <c r="D6" s="2"/>
      <c r="E6" s="2"/>
      <c r="F6" s="2"/>
      <c r="G6" s="2"/>
      <c r="H6" s="2"/>
      <c r="I6" s="2"/>
    </row>
    <row r="7" spans="1:13" x14ac:dyDescent="0.2">
      <c r="D7" s="2"/>
      <c r="E7" s="2"/>
      <c r="F7" s="2"/>
      <c r="G7" s="2"/>
    </row>
    <row r="8" spans="1:13" x14ac:dyDescent="0.2">
      <c r="C8" s="10"/>
      <c r="D8" s="13"/>
      <c r="E8" s="13"/>
      <c r="F8" s="13"/>
      <c r="G8" s="13"/>
      <c r="H8" s="13"/>
      <c r="I8" s="10"/>
      <c r="J8" s="10"/>
      <c r="K8" s="10"/>
      <c r="L8" s="10"/>
      <c r="M8" s="10"/>
    </row>
    <row r="9" spans="1:13" ht="15.75" x14ac:dyDescent="0.3">
      <c r="A9" s="6" t="s">
        <v>3</v>
      </c>
      <c r="B9" s="23" t="s">
        <v>4</v>
      </c>
      <c r="C9" s="11" t="s">
        <v>5</v>
      </c>
      <c r="D9" s="11" t="s">
        <v>6</v>
      </c>
      <c r="E9" s="11" t="s">
        <v>7</v>
      </c>
      <c r="F9" s="11" t="s">
        <v>8</v>
      </c>
      <c r="G9" s="11" t="s">
        <v>9</v>
      </c>
      <c r="H9" s="11" t="s">
        <v>10</v>
      </c>
      <c r="I9" s="11" t="s">
        <v>11</v>
      </c>
      <c r="J9" s="11" t="s">
        <v>12</v>
      </c>
      <c r="K9" s="11" t="s">
        <v>13</v>
      </c>
      <c r="L9" s="11" t="s">
        <v>14</v>
      </c>
      <c r="M9" s="11" t="s">
        <v>14</v>
      </c>
    </row>
    <row r="10" spans="1:13" x14ac:dyDescent="0.2">
      <c r="C10" s="10"/>
      <c r="D10" s="13"/>
      <c r="E10" s="13"/>
      <c r="G10" s="13"/>
      <c r="H10" s="13"/>
      <c r="I10" s="10"/>
    </row>
    <row r="11" spans="1:13" x14ac:dyDescent="0.2">
      <c r="A11" t="s">
        <v>15</v>
      </c>
      <c r="B11" s="1" t="s">
        <v>16</v>
      </c>
      <c r="C11" s="13"/>
      <c r="D11" s="13"/>
      <c r="E11" s="13">
        <v>439</v>
      </c>
      <c r="G11" s="13"/>
      <c r="H11" s="13"/>
      <c r="I11" s="13"/>
    </row>
    <row r="12" spans="1:13" x14ac:dyDescent="0.2">
      <c r="A12" t="s">
        <v>17</v>
      </c>
      <c r="B12" t="s">
        <v>18</v>
      </c>
      <c r="C12" s="13"/>
      <c r="D12" s="13"/>
      <c r="E12" s="13">
        <v>169</v>
      </c>
      <c r="G12" s="13"/>
      <c r="H12" s="13"/>
      <c r="I12" s="13"/>
    </row>
    <row r="13" spans="1:13" x14ac:dyDescent="0.2">
      <c r="A13" t="s">
        <v>19</v>
      </c>
      <c r="B13" s="1" t="s">
        <v>20</v>
      </c>
      <c r="C13" s="13">
        <v>575</v>
      </c>
      <c r="D13" s="13"/>
      <c r="E13" s="13">
        <v>58</v>
      </c>
      <c r="G13" s="13"/>
      <c r="H13" s="13"/>
      <c r="I13" s="13">
        <v>200</v>
      </c>
    </row>
    <row r="14" spans="1:13" x14ac:dyDescent="0.2">
      <c r="A14" t="s">
        <v>21</v>
      </c>
      <c r="B14" s="1" t="s">
        <v>22</v>
      </c>
      <c r="C14" s="13"/>
      <c r="D14" s="13"/>
      <c r="E14" s="13">
        <v>97</v>
      </c>
      <c r="G14" s="13"/>
      <c r="H14" s="13"/>
      <c r="I14" s="13"/>
    </row>
    <row r="15" spans="1:13" x14ac:dyDescent="0.2">
      <c r="A15" t="s">
        <v>23</v>
      </c>
      <c r="B15" s="1" t="s">
        <v>24</v>
      </c>
      <c r="C15" s="13"/>
      <c r="D15" s="13"/>
      <c r="E15" s="13">
        <v>203</v>
      </c>
      <c r="G15" s="13"/>
      <c r="H15" s="13">
        <v>192</v>
      </c>
      <c r="I15" s="13"/>
    </row>
    <row r="16" spans="1:13" x14ac:dyDescent="0.2">
      <c r="A16" t="s">
        <v>25</v>
      </c>
      <c r="B16" s="1" t="s">
        <v>26</v>
      </c>
      <c r="C16" s="13">
        <v>812</v>
      </c>
      <c r="D16" s="13">
        <v>731</v>
      </c>
      <c r="E16" s="13">
        <v>700</v>
      </c>
      <c r="G16" s="13"/>
      <c r="H16" s="13"/>
      <c r="I16" s="13"/>
    </row>
    <row r="17" spans="1:14" x14ac:dyDescent="0.2">
      <c r="A17" t="s">
        <v>27</v>
      </c>
      <c r="B17" s="1" t="s">
        <v>28</v>
      </c>
      <c r="C17" s="13"/>
      <c r="D17" s="13"/>
      <c r="E17" s="13">
        <v>71</v>
      </c>
      <c r="G17" s="13"/>
      <c r="H17" s="13"/>
      <c r="I17" s="13"/>
    </row>
    <row r="18" spans="1:14" x14ac:dyDescent="0.2">
      <c r="A18" t="s">
        <v>29</v>
      </c>
      <c r="B18" s="1" t="s">
        <v>30</v>
      </c>
      <c r="C18" s="13">
        <v>2751.65</v>
      </c>
      <c r="D18" s="13"/>
      <c r="E18" s="13">
        <v>368</v>
      </c>
      <c r="G18" s="13"/>
      <c r="H18" s="13"/>
      <c r="I18" s="13"/>
    </row>
    <row r="19" spans="1:14" x14ac:dyDescent="0.2">
      <c r="A19" t="s">
        <v>31</v>
      </c>
      <c r="B19" s="1" t="s">
        <v>32</v>
      </c>
      <c r="C19" s="13"/>
      <c r="D19" s="13"/>
      <c r="E19" s="13">
        <v>134</v>
      </c>
      <c r="F19" s="13">
        <v>60</v>
      </c>
      <c r="G19" s="13"/>
      <c r="H19" s="13"/>
      <c r="I19" s="13"/>
    </row>
    <row r="20" spans="1:14" x14ac:dyDescent="0.2">
      <c r="A20" t="s">
        <v>33</v>
      </c>
      <c r="B20" s="1" t="s">
        <v>34</v>
      </c>
      <c r="C20" s="13">
        <v>806</v>
      </c>
      <c r="D20" s="13"/>
      <c r="E20" s="13"/>
      <c r="F20" s="13"/>
      <c r="G20" s="13"/>
      <c r="H20" s="13"/>
      <c r="I20" s="13"/>
    </row>
    <row r="21" spans="1:14" x14ac:dyDescent="0.2">
      <c r="A21" t="s">
        <v>35</v>
      </c>
      <c r="B21" s="1" t="s">
        <v>36</v>
      </c>
      <c r="C21" s="13"/>
      <c r="D21" s="13"/>
      <c r="E21" s="13">
        <v>1043</v>
      </c>
      <c r="F21" s="13">
        <v>204</v>
      </c>
      <c r="G21" s="13">
        <v>5571</v>
      </c>
      <c r="H21" s="13"/>
      <c r="I21" s="2"/>
    </row>
    <row r="22" spans="1:14" x14ac:dyDescent="0.2">
      <c r="A22" t="s">
        <v>37</v>
      </c>
      <c r="B22" s="1" t="s">
        <v>38</v>
      </c>
      <c r="C22" s="13"/>
      <c r="D22" s="13"/>
      <c r="E22" s="13">
        <v>135</v>
      </c>
      <c r="F22" s="13"/>
      <c r="G22" s="13"/>
      <c r="H22" s="13"/>
      <c r="I22" s="13"/>
    </row>
    <row r="23" spans="1:14" x14ac:dyDescent="0.2">
      <c r="A23" t="s">
        <v>39</v>
      </c>
      <c r="B23" s="1" t="s">
        <v>40</v>
      </c>
      <c r="C23" s="13"/>
      <c r="D23" s="13"/>
      <c r="E23" s="13">
        <v>139</v>
      </c>
      <c r="F23" s="13"/>
      <c r="G23" s="13"/>
      <c r="H23" s="13"/>
      <c r="I23" s="13"/>
    </row>
    <row r="24" spans="1:14" x14ac:dyDescent="0.2">
      <c r="C24" s="2"/>
      <c r="D24" s="2"/>
      <c r="E24" s="2"/>
      <c r="G24" s="2"/>
      <c r="H24" s="2"/>
      <c r="I24" s="2"/>
    </row>
    <row r="25" spans="1:14" x14ac:dyDescent="0.2">
      <c r="A25" t="s">
        <v>41</v>
      </c>
      <c r="C25" s="2">
        <f t="shared" ref="C25:M25" si="0">+SUM(C11:C23)</f>
        <v>4944.6499999999996</v>
      </c>
      <c r="D25" s="2">
        <f t="shared" si="0"/>
        <v>731</v>
      </c>
      <c r="E25" s="2">
        <f t="shared" si="0"/>
        <v>3556</v>
      </c>
      <c r="F25" s="2">
        <f t="shared" si="0"/>
        <v>264</v>
      </c>
      <c r="G25" s="2">
        <f t="shared" si="0"/>
        <v>5571</v>
      </c>
      <c r="H25" s="2">
        <f t="shared" si="0"/>
        <v>192</v>
      </c>
      <c r="I25" s="2">
        <f t="shared" si="0"/>
        <v>200</v>
      </c>
      <c r="J25" s="2">
        <f t="shared" si="0"/>
        <v>0</v>
      </c>
      <c r="K25" s="2">
        <f t="shared" si="0"/>
        <v>0</v>
      </c>
      <c r="L25" s="2">
        <f t="shared" si="0"/>
        <v>0</v>
      </c>
      <c r="M25" s="2">
        <f t="shared" si="0"/>
        <v>0</v>
      </c>
      <c r="N25" s="2">
        <f>+SUM(C25:M25)</f>
        <v>15458.65</v>
      </c>
    </row>
    <row r="26" spans="1:14" x14ac:dyDescent="0.2">
      <c r="A26" s="9" t="s">
        <v>42</v>
      </c>
      <c r="D26" s="2"/>
      <c r="E26" s="2"/>
      <c r="F26" s="2"/>
      <c r="G26" s="2"/>
      <c r="H26" s="2"/>
      <c r="I26" s="2"/>
    </row>
    <row r="27" spans="1:14" x14ac:dyDescent="0.2">
      <c r="D27" s="2"/>
      <c r="E27" s="2"/>
      <c r="F27" s="2"/>
      <c r="G27" s="2"/>
      <c r="H27" s="2"/>
      <c r="I27" s="2"/>
    </row>
    <row r="28" spans="1:14" x14ac:dyDescent="0.2">
      <c r="A28" s="4" t="s">
        <v>43</v>
      </c>
      <c r="B28" s="10"/>
      <c r="C28" s="10"/>
      <c r="D28" s="10"/>
      <c r="E28" s="10"/>
      <c r="F28" s="13"/>
      <c r="G28" s="2"/>
      <c r="H28" s="19"/>
      <c r="I28" s="19"/>
      <c r="J28" s="18"/>
    </row>
    <row r="29" spans="1:14" x14ac:dyDescent="0.2">
      <c r="B29" s="10"/>
      <c r="C29" s="10"/>
      <c r="D29" s="10"/>
      <c r="E29" s="10"/>
      <c r="F29" s="13"/>
      <c r="G29" s="2"/>
      <c r="H29" s="2"/>
      <c r="I29" s="2"/>
    </row>
    <row r="30" spans="1:14" x14ac:dyDescent="0.2">
      <c r="B30" s="10"/>
      <c r="C30" s="5" t="s">
        <v>44</v>
      </c>
      <c r="D30" s="5" t="s">
        <v>44</v>
      </c>
      <c r="E30" s="12"/>
      <c r="F30" s="13"/>
      <c r="G30" s="2"/>
      <c r="H30" s="2"/>
      <c r="I30" s="2"/>
    </row>
    <row r="31" spans="1:14" x14ac:dyDescent="0.2">
      <c r="A31" t="s">
        <v>45</v>
      </c>
      <c r="B31" s="10"/>
      <c r="C31" s="10" t="s">
        <v>46</v>
      </c>
      <c r="D31" s="10" t="s">
        <v>47</v>
      </c>
      <c r="E31" s="12" t="s">
        <v>48</v>
      </c>
      <c r="F31" s="13"/>
      <c r="G31" s="2"/>
      <c r="H31" s="2"/>
      <c r="I31" s="2"/>
    </row>
    <row r="32" spans="1:14" x14ac:dyDescent="0.2">
      <c r="A32" s="6"/>
      <c r="B32" s="11"/>
      <c r="C32" s="7">
        <v>2030</v>
      </c>
      <c r="D32" s="7">
        <v>2030</v>
      </c>
      <c r="E32" s="8" t="s">
        <v>49</v>
      </c>
      <c r="F32" s="13"/>
      <c r="G32" s="2"/>
      <c r="H32" s="2"/>
      <c r="I32" s="2"/>
    </row>
    <row r="33" spans="1:10" x14ac:dyDescent="0.2">
      <c r="A33" t="s">
        <v>8</v>
      </c>
      <c r="B33" s="12"/>
      <c r="C33" s="12">
        <v>264</v>
      </c>
      <c r="D33" s="12">
        <v>264</v>
      </c>
      <c r="E33" s="15">
        <f t="shared" ref="E33:E42" si="1">+D33/C33-1</f>
        <v>0</v>
      </c>
      <c r="F33" s="13"/>
      <c r="G33" s="2"/>
      <c r="H33" s="2"/>
      <c r="I33" s="2"/>
    </row>
    <row r="34" spans="1:10" x14ac:dyDescent="0.2">
      <c r="A34" t="s">
        <v>50</v>
      </c>
      <c r="B34" s="12"/>
      <c r="C34" s="12">
        <v>4944.6499999999996</v>
      </c>
      <c r="D34" s="12">
        <v>4944.6499999999996</v>
      </c>
      <c r="E34" s="15">
        <f t="shared" si="1"/>
        <v>0</v>
      </c>
      <c r="F34" s="13"/>
      <c r="G34" s="2"/>
      <c r="H34" s="2"/>
      <c r="I34" s="2"/>
    </row>
    <row r="35" spans="1:10" x14ac:dyDescent="0.2">
      <c r="A35" t="s">
        <v>51</v>
      </c>
      <c r="B35" s="12"/>
      <c r="C35" s="12">
        <v>731</v>
      </c>
      <c r="D35" s="12">
        <v>731</v>
      </c>
      <c r="E35" s="15">
        <f t="shared" si="1"/>
        <v>0</v>
      </c>
      <c r="F35" s="13"/>
      <c r="G35" s="2"/>
      <c r="H35" s="2"/>
      <c r="I35" s="2"/>
    </row>
    <row r="36" spans="1:10" x14ac:dyDescent="0.2">
      <c r="A36" t="s">
        <v>52</v>
      </c>
      <c r="B36" s="10"/>
      <c r="C36" s="12">
        <v>3556</v>
      </c>
      <c r="D36" s="12">
        <v>3556</v>
      </c>
      <c r="E36" s="15">
        <f t="shared" si="1"/>
        <v>0</v>
      </c>
      <c r="F36" s="13"/>
      <c r="G36" s="2"/>
      <c r="H36" s="2"/>
      <c r="I36" s="2"/>
    </row>
    <row r="37" spans="1:10" x14ac:dyDescent="0.2">
      <c r="A37" t="s">
        <v>9</v>
      </c>
      <c r="B37" s="10"/>
      <c r="C37" s="12">
        <v>5571</v>
      </c>
      <c r="D37" s="12">
        <v>5571</v>
      </c>
      <c r="E37" s="15">
        <f t="shared" si="1"/>
        <v>0</v>
      </c>
      <c r="F37" s="13"/>
      <c r="G37" s="2"/>
      <c r="H37" s="2"/>
      <c r="I37" s="2"/>
    </row>
    <row r="38" spans="1:10" x14ac:dyDescent="0.2">
      <c r="A38" t="s">
        <v>10</v>
      </c>
      <c r="B38" s="10"/>
      <c r="C38" s="12">
        <v>192</v>
      </c>
      <c r="D38" s="12">
        <v>192</v>
      </c>
      <c r="E38" s="15">
        <f t="shared" si="1"/>
        <v>0</v>
      </c>
      <c r="F38" s="13"/>
      <c r="G38" s="2"/>
      <c r="H38" s="2"/>
      <c r="I38" s="2"/>
    </row>
    <row r="39" spans="1:10" x14ac:dyDescent="0.2">
      <c r="A39" t="s">
        <v>11</v>
      </c>
      <c r="B39" s="10"/>
      <c r="C39" s="12">
        <v>200</v>
      </c>
      <c r="D39" s="12">
        <v>200</v>
      </c>
      <c r="E39" s="15">
        <f t="shared" si="1"/>
        <v>0</v>
      </c>
      <c r="F39" s="13"/>
      <c r="G39" s="2"/>
      <c r="H39" s="2"/>
      <c r="I39" s="2"/>
    </row>
    <row r="40" spans="1:10" x14ac:dyDescent="0.2">
      <c r="A40" t="s">
        <v>12</v>
      </c>
      <c r="B40" s="10"/>
      <c r="C40" s="12">
        <v>0</v>
      </c>
      <c r="D40" s="13">
        <v>0</v>
      </c>
      <c r="E40" s="15" t="e">
        <f t="shared" si="1"/>
        <v>#DIV/0!</v>
      </c>
      <c r="F40" s="13"/>
      <c r="G40" s="2"/>
      <c r="H40" s="2"/>
      <c r="I40" s="2"/>
    </row>
    <row r="41" spans="1:10" x14ac:dyDescent="0.2">
      <c r="A41" t="s">
        <v>13</v>
      </c>
      <c r="B41" s="10"/>
      <c r="C41" s="10">
        <v>0</v>
      </c>
      <c r="D41" s="13">
        <v>0</v>
      </c>
      <c r="E41" s="15" t="e">
        <f t="shared" si="1"/>
        <v>#DIV/0!</v>
      </c>
      <c r="F41" s="13"/>
      <c r="G41" s="2"/>
      <c r="H41" s="2"/>
      <c r="I41" s="2"/>
    </row>
    <row r="42" spans="1:10" x14ac:dyDescent="0.2">
      <c r="A42" s="6" t="s">
        <v>53</v>
      </c>
      <c r="B42" s="11"/>
      <c r="C42" s="11">
        <v>0</v>
      </c>
      <c r="D42" s="14">
        <v>0</v>
      </c>
      <c r="E42" s="22" t="e">
        <f t="shared" si="1"/>
        <v>#DIV/0!</v>
      </c>
      <c r="F42" s="13"/>
      <c r="G42" s="2"/>
      <c r="H42" s="2"/>
      <c r="I42" s="2"/>
    </row>
    <row r="43" spans="1:10" x14ac:dyDescent="0.2">
      <c r="D43" s="2"/>
      <c r="E43" s="2"/>
      <c r="F43" s="2"/>
      <c r="G43" s="2"/>
      <c r="H43" s="2"/>
      <c r="I43" s="2"/>
    </row>
    <row r="44" spans="1:10" x14ac:dyDescent="0.2">
      <c r="A44" t="s">
        <v>41</v>
      </c>
      <c r="C44" s="2">
        <f>+SUM(C33:C42)</f>
        <v>15458.65</v>
      </c>
      <c r="D44" s="2">
        <f>+SUM(D33:D42)</f>
        <v>15458.65</v>
      </c>
      <c r="E44" s="2"/>
      <c r="F44" s="2"/>
      <c r="G44" s="2"/>
      <c r="H44" s="2"/>
      <c r="I44" s="2"/>
    </row>
    <row r="45" spans="1:10" x14ac:dyDescent="0.2">
      <c r="D45" s="2"/>
      <c r="E45" s="2"/>
      <c r="F45" s="2"/>
      <c r="G45" s="2"/>
      <c r="H45" s="2"/>
      <c r="I45" s="2"/>
    </row>
    <row r="46" spans="1:10" x14ac:dyDescent="0.2">
      <c r="A46" s="4" t="s">
        <v>54</v>
      </c>
      <c r="B46" s="10"/>
      <c r="C46" s="10"/>
      <c r="D46" s="10"/>
      <c r="E46" s="10"/>
      <c r="F46" s="2"/>
      <c r="G46" s="2"/>
      <c r="H46" s="19"/>
      <c r="I46" s="19"/>
      <c r="J46" s="18"/>
    </row>
    <row r="47" spans="1:10" x14ac:dyDescent="0.2">
      <c r="B47" s="10"/>
      <c r="C47" s="10"/>
      <c r="D47" s="10"/>
      <c r="E47" s="10"/>
      <c r="F47" s="2"/>
      <c r="G47" s="2"/>
      <c r="H47" s="2"/>
      <c r="I47" s="2"/>
    </row>
    <row r="48" spans="1:10" x14ac:dyDescent="0.2">
      <c r="B48" s="10"/>
      <c r="C48" s="5" t="s">
        <v>55</v>
      </c>
      <c r="D48" s="5" t="s">
        <v>55</v>
      </c>
      <c r="E48" s="10"/>
      <c r="F48" s="2"/>
      <c r="G48" s="2"/>
      <c r="H48" s="2"/>
      <c r="I48" s="2"/>
    </row>
    <row r="49" spans="1:9" x14ac:dyDescent="0.2">
      <c r="B49" s="10"/>
      <c r="C49" s="10" t="s">
        <v>46</v>
      </c>
      <c r="D49" s="10" t="s">
        <v>47</v>
      </c>
      <c r="E49" s="12" t="s">
        <v>48</v>
      </c>
      <c r="F49" s="2"/>
      <c r="G49" s="2"/>
      <c r="H49" s="2"/>
      <c r="I49" s="2"/>
    </row>
    <row r="50" spans="1:9" x14ac:dyDescent="0.2">
      <c r="A50" s="6"/>
      <c r="B50" s="11"/>
      <c r="C50" s="7">
        <v>2030</v>
      </c>
      <c r="D50" s="7">
        <v>2030</v>
      </c>
      <c r="E50" s="8" t="s">
        <v>49</v>
      </c>
      <c r="F50" s="2"/>
      <c r="G50" s="2"/>
      <c r="H50" s="2"/>
      <c r="I50" s="2"/>
    </row>
    <row r="51" spans="1:9" x14ac:dyDescent="0.2">
      <c r="A51" t="s">
        <v>8</v>
      </c>
      <c r="B51" s="10"/>
      <c r="C51" s="13">
        <v>1271.6400000000001</v>
      </c>
      <c r="D51" s="13">
        <v>1271.6400000000001</v>
      </c>
      <c r="E51" s="15">
        <f t="shared" ref="E51:E60" si="2">+D51/C51-1</f>
        <v>0</v>
      </c>
      <c r="F51" s="2"/>
      <c r="G51" s="17" t="s">
        <v>56</v>
      </c>
      <c r="H51" s="2"/>
      <c r="I51" s="2"/>
    </row>
    <row r="52" spans="1:9" x14ac:dyDescent="0.2">
      <c r="A52" t="s">
        <v>50</v>
      </c>
      <c r="B52" s="10"/>
      <c r="C52" s="13">
        <v>34581.54</v>
      </c>
      <c r="D52" s="13">
        <v>34581.54</v>
      </c>
      <c r="E52" s="15">
        <f t="shared" si="2"/>
        <v>0</v>
      </c>
      <c r="F52" s="2"/>
      <c r="G52" s="2"/>
      <c r="H52" s="2"/>
      <c r="I52" s="2"/>
    </row>
    <row r="53" spans="1:9" x14ac:dyDescent="0.2">
      <c r="A53" t="s">
        <v>51</v>
      </c>
      <c r="B53" s="10"/>
      <c r="C53" s="13">
        <v>815.8</v>
      </c>
      <c r="D53" s="13">
        <v>815.8</v>
      </c>
      <c r="E53" s="15">
        <f t="shared" si="2"/>
        <v>0</v>
      </c>
      <c r="F53" s="2"/>
      <c r="G53" s="2" t="s">
        <v>56</v>
      </c>
      <c r="H53" s="2"/>
      <c r="I53" s="2"/>
    </row>
    <row r="54" spans="1:9" x14ac:dyDescent="0.2">
      <c r="A54" t="s">
        <v>52</v>
      </c>
      <c r="B54" s="10"/>
      <c r="C54" s="13">
        <v>849.59</v>
      </c>
      <c r="D54" s="13">
        <v>849.59</v>
      </c>
      <c r="E54" s="15">
        <f t="shared" si="2"/>
        <v>0</v>
      </c>
      <c r="F54" s="2"/>
      <c r="G54" s="2"/>
      <c r="H54" s="2"/>
      <c r="I54" s="2"/>
    </row>
    <row r="55" spans="1:9" x14ac:dyDescent="0.2">
      <c r="A55" t="s">
        <v>9</v>
      </c>
      <c r="B55" s="10"/>
      <c r="C55" s="13">
        <v>30708.48</v>
      </c>
      <c r="D55" s="13">
        <v>30708.48</v>
      </c>
      <c r="E55" s="15">
        <f t="shared" si="2"/>
        <v>0</v>
      </c>
      <c r="F55" s="2"/>
      <c r="G55" s="2"/>
      <c r="H55" s="2"/>
      <c r="I55" s="2"/>
    </row>
    <row r="56" spans="1:9" x14ac:dyDescent="0.2">
      <c r="A56" t="s">
        <v>10</v>
      </c>
      <c r="B56" s="10"/>
      <c r="C56" s="13">
        <v>420.48</v>
      </c>
      <c r="D56" s="13">
        <v>420.48</v>
      </c>
      <c r="E56" s="15">
        <f t="shared" si="2"/>
        <v>0</v>
      </c>
      <c r="F56" s="2"/>
      <c r="G56" s="2"/>
      <c r="H56" s="2"/>
      <c r="I56" s="2"/>
    </row>
    <row r="57" spans="1:9" x14ac:dyDescent="0.2">
      <c r="A57" t="s">
        <v>11</v>
      </c>
      <c r="B57" s="10"/>
      <c r="C57" s="13">
        <v>438</v>
      </c>
      <c r="D57" s="13">
        <v>438</v>
      </c>
      <c r="E57" s="15">
        <f t="shared" si="2"/>
        <v>0</v>
      </c>
      <c r="F57" s="2"/>
      <c r="G57" s="2"/>
      <c r="H57" s="2"/>
      <c r="I57" s="2"/>
    </row>
    <row r="58" spans="1:9" x14ac:dyDescent="0.2">
      <c r="A58" t="s">
        <v>12</v>
      </c>
      <c r="B58" s="10"/>
      <c r="C58" s="13">
        <v>0</v>
      </c>
      <c r="D58" s="13">
        <v>0</v>
      </c>
      <c r="E58" s="15" t="e">
        <f t="shared" si="2"/>
        <v>#DIV/0!</v>
      </c>
      <c r="F58" s="2"/>
      <c r="G58" s="2"/>
      <c r="H58" s="2"/>
      <c r="I58" s="2"/>
    </row>
    <row r="59" spans="1:9" x14ac:dyDescent="0.2">
      <c r="A59" t="s">
        <v>13</v>
      </c>
      <c r="B59" s="10"/>
      <c r="C59" s="10">
        <v>0</v>
      </c>
      <c r="D59" s="10">
        <v>0</v>
      </c>
      <c r="E59" s="15" t="e">
        <f t="shared" si="2"/>
        <v>#DIV/0!</v>
      </c>
      <c r="F59" s="2"/>
      <c r="G59" s="2"/>
      <c r="H59" s="2"/>
      <c r="I59" s="2"/>
    </row>
    <row r="60" spans="1:9" x14ac:dyDescent="0.2">
      <c r="A60" s="6" t="s">
        <v>53</v>
      </c>
      <c r="B60" s="11"/>
      <c r="C60" s="11">
        <v>0</v>
      </c>
      <c r="D60" s="11">
        <v>0</v>
      </c>
      <c r="E60" s="22" t="e">
        <f t="shared" si="2"/>
        <v>#DIV/0!</v>
      </c>
      <c r="F60" s="2"/>
      <c r="G60" s="2"/>
      <c r="H60" s="2"/>
      <c r="I60" s="2"/>
    </row>
    <row r="61" spans="1:9" x14ac:dyDescent="0.2">
      <c r="B61" s="10"/>
      <c r="C61" s="10"/>
      <c r="D61" s="13"/>
      <c r="E61" s="13"/>
      <c r="F61" s="2"/>
      <c r="G61" s="2"/>
      <c r="H61" s="2"/>
      <c r="I61" s="2"/>
    </row>
    <row r="62" spans="1:9" x14ac:dyDescent="0.2">
      <c r="A62" t="s">
        <v>41</v>
      </c>
      <c r="B62" s="10"/>
      <c r="C62" s="13">
        <f>+SUM(C51:C60)</f>
        <v>69085.53</v>
      </c>
      <c r="D62" s="13">
        <f>+SUM(D51:D60)</f>
        <v>69085.53</v>
      </c>
      <c r="E62" s="13"/>
      <c r="F62" s="2"/>
      <c r="G62" s="2"/>
      <c r="H62" s="2"/>
      <c r="I62" s="2"/>
    </row>
    <row r="63" spans="1:9" x14ac:dyDescent="0.2">
      <c r="D63" s="2"/>
      <c r="E63" s="2"/>
      <c r="F63" s="2"/>
      <c r="G63" s="2"/>
      <c r="H63" s="2"/>
      <c r="I63" s="2"/>
    </row>
    <row r="65" spans="1:10" x14ac:dyDescent="0.2">
      <c r="A65" s="4" t="s">
        <v>57</v>
      </c>
      <c r="E65" s="10"/>
      <c r="H65" s="19"/>
      <c r="I65" s="19"/>
      <c r="J65" s="18"/>
    </row>
    <row r="66" spans="1:10" x14ac:dyDescent="0.2">
      <c r="E66" s="10"/>
    </row>
    <row r="67" spans="1:10" x14ac:dyDescent="0.2">
      <c r="B67" s="24" t="s">
        <v>58</v>
      </c>
      <c r="C67" s="24"/>
      <c r="E67" s="10"/>
    </row>
    <row r="68" spans="1:10" x14ac:dyDescent="0.2">
      <c r="B68" s="10" t="s">
        <v>46</v>
      </c>
      <c r="C68" s="10" t="s">
        <v>47</v>
      </c>
      <c r="D68" s="3" t="s">
        <v>48</v>
      </c>
      <c r="E68" s="10"/>
    </row>
    <row r="69" spans="1:10" x14ac:dyDescent="0.2">
      <c r="A69" s="6" t="s">
        <v>59</v>
      </c>
      <c r="B69" s="7">
        <v>2030</v>
      </c>
      <c r="C69" s="7">
        <v>2030</v>
      </c>
      <c r="D69" s="8" t="s">
        <v>49</v>
      </c>
      <c r="E69" s="10"/>
    </row>
    <row r="70" spans="1:10" x14ac:dyDescent="0.2">
      <c r="A70" t="s">
        <v>56</v>
      </c>
      <c r="E70" s="10"/>
    </row>
    <row r="71" spans="1:10" x14ac:dyDescent="0.2">
      <c r="A71" t="s">
        <v>60</v>
      </c>
      <c r="B71" s="2">
        <v>1533.9191000000001</v>
      </c>
      <c r="C71" s="2">
        <v>1658.5748000000001</v>
      </c>
      <c r="D71" s="15">
        <f>+C71/B71-1</f>
        <v>8.1266150216135813E-2</v>
      </c>
      <c r="E71" s="10"/>
    </row>
    <row r="72" spans="1:10" x14ac:dyDescent="0.2">
      <c r="A72" s="6"/>
      <c r="B72" s="6"/>
      <c r="C72" s="6"/>
      <c r="D72" s="6"/>
      <c r="E72" s="10"/>
    </row>
    <row r="73" spans="1:10" x14ac:dyDescent="0.2">
      <c r="B73" s="10"/>
      <c r="C73" s="10"/>
      <c r="D73" s="10"/>
      <c r="E73" s="10"/>
    </row>
    <row r="74" spans="1:10" x14ac:dyDescent="0.2">
      <c r="B74" s="10"/>
      <c r="C74" s="10"/>
      <c r="D74" s="10"/>
      <c r="E74" s="10"/>
    </row>
    <row r="75" spans="1:10" x14ac:dyDescent="0.2">
      <c r="A75" s="4" t="s">
        <v>61</v>
      </c>
      <c r="E75" s="10"/>
      <c r="H75" s="19"/>
      <c r="I75" s="19"/>
      <c r="J75" s="18"/>
    </row>
    <row r="76" spans="1:10" x14ac:dyDescent="0.2">
      <c r="E76" s="10"/>
    </row>
    <row r="77" spans="1:10" x14ac:dyDescent="0.2">
      <c r="B77" s="24" t="s">
        <v>62</v>
      </c>
      <c r="C77" s="24"/>
      <c r="E77" s="10"/>
    </row>
    <row r="78" spans="1:10" x14ac:dyDescent="0.2">
      <c r="B78" s="10" t="s">
        <v>46</v>
      </c>
      <c r="C78" s="10" t="s">
        <v>47</v>
      </c>
      <c r="D78" s="3" t="s">
        <v>48</v>
      </c>
      <c r="E78" s="10"/>
    </row>
    <row r="79" spans="1:10" x14ac:dyDescent="0.2">
      <c r="A79" s="6" t="s">
        <v>59</v>
      </c>
      <c r="B79" s="7">
        <v>2030</v>
      </c>
      <c r="C79" s="7">
        <v>2030</v>
      </c>
      <c r="D79" s="8" t="s">
        <v>49</v>
      </c>
      <c r="E79" s="10"/>
    </row>
    <row r="80" spans="1:10" x14ac:dyDescent="0.2">
      <c r="A80" t="s">
        <v>56</v>
      </c>
      <c r="E80" s="10"/>
    </row>
    <row r="81" spans="1:10" x14ac:dyDescent="0.2">
      <c r="A81" t="s">
        <v>60</v>
      </c>
      <c r="B81" s="2">
        <v>1271.6914999999999</v>
      </c>
      <c r="C81" s="2">
        <v>470.37060000000002</v>
      </c>
      <c r="D81" s="15">
        <f>+C81/B81-1</f>
        <v>-0.63012208542716519</v>
      </c>
      <c r="E81" s="10"/>
      <c r="F81" s="2"/>
    </row>
    <row r="82" spans="1:10" x14ac:dyDescent="0.2">
      <c r="A82" s="6"/>
      <c r="B82" s="6"/>
      <c r="C82" s="6"/>
      <c r="D82" s="6"/>
      <c r="E82" s="10"/>
    </row>
    <row r="83" spans="1:10" x14ac:dyDescent="0.2">
      <c r="B83" s="10"/>
      <c r="C83" s="10"/>
      <c r="D83" s="10"/>
      <c r="E83" s="10"/>
    </row>
    <row r="84" spans="1:10" x14ac:dyDescent="0.2">
      <c r="B84" s="10"/>
      <c r="C84" s="10"/>
      <c r="D84" s="10"/>
      <c r="E84" s="10"/>
    </row>
    <row r="85" spans="1:10" x14ac:dyDescent="0.2">
      <c r="A85" s="4" t="s">
        <v>63</v>
      </c>
      <c r="E85" s="10"/>
      <c r="H85" s="19"/>
      <c r="I85" s="19"/>
      <c r="J85" s="18"/>
    </row>
    <row r="86" spans="1:10" x14ac:dyDescent="0.2">
      <c r="A86" s="4" t="s">
        <v>64</v>
      </c>
      <c r="E86" s="10"/>
    </row>
    <row r="87" spans="1:10" x14ac:dyDescent="0.2">
      <c r="E87" s="10"/>
    </row>
    <row r="88" spans="1:10" x14ac:dyDescent="0.2">
      <c r="B88" s="10" t="s">
        <v>46</v>
      </c>
      <c r="C88" s="10" t="s">
        <v>47</v>
      </c>
      <c r="D88" s="3" t="s">
        <v>48</v>
      </c>
      <c r="E88" s="10"/>
    </row>
    <row r="89" spans="1:10" x14ac:dyDescent="0.2">
      <c r="A89" s="6"/>
      <c r="B89" s="7">
        <v>2030</v>
      </c>
      <c r="C89" s="7">
        <v>2030</v>
      </c>
      <c r="D89" s="8" t="s">
        <v>49</v>
      </c>
      <c r="E89" s="10"/>
    </row>
    <row r="90" spans="1:10" x14ac:dyDescent="0.2">
      <c r="A90" t="s">
        <v>65</v>
      </c>
      <c r="B90" s="2">
        <v>274099.34999999998</v>
      </c>
      <c r="C90" s="2">
        <v>2741.67</v>
      </c>
      <c r="D90" s="15">
        <f>+C90/B90-1</f>
        <v>-0.98999753191680318</v>
      </c>
      <c r="F90" s="2" t="s">
        <v>56</v>
      </c>
      <c r="G90" s="16" t="s">
        <v>56</v>
      </c>
    </row>
    <row r="91" spans="1:10" x14ac:dyDescent="0.2">
      <c r="A91" t="s">
        <v>66</v>
      </c>
      <c r="B91" s="2">
        <v>106409.54</v>
      </c>
      <c r="C91" s="2">
        <v>6138.89</v>
      </c>
      <c r="D91" s="15">
        <f>+C91/B91-1</f>
        <v>-0.94230883809853894</v>
      </c>
      <c r="E91" s="10"/>
    </row>
    <row r="92" spans="1:10" x14ac:dyDescent="0.2">
      <c r="A92" t="s">
        <v>67</v>
      </c>
      <c r="B92" s="2">
        <v>250364.44</v>
      </c>
      <c r="C92" s="2">
        <v>250363.01</v>
      </c>
      <c r="D92" s="15">
        <f>+C92/B92-1</f>
        <v>-5.7116737504081527E-6</v>
      </c>
      <c r="E92" s="10"/>
    </row>
    <row r="93" spans="1:10" ht="15.75" x14ac:dyDescent="0.3">
      <c r="A93" s="1" t="s">
        <v>68</v>
      </c>
      <c r="B93" s="2">
        <v>28252513.120000001</v>
      </c>
      <c r="C93" s="2">
        <v>28252513.120000001</v>
      </c>
      <c r="D93" s="15">
        <f>+C93/B93-1</f>
        <v>0</v>
      </c>
      <c r="E93" s="10"/>
    </row>
    <row r="94" spans="1:10" x14ac:dyDescent="0.2">
      <c r="A94" s="6"/>
      <c r="B94" s="6"/>
      <c r="C94" s="6"/>
      <c r="D94" s="6"/>
      <c r="E94" s="10"/>
    </row>
    <row r="95" spans="1:10" x14ac:dyDescent="0.2">
      <c r="B95" s="10"/>
      <c r="C95" s="10"/>
      <c r="D95" s="10"/>
      <c r="E95" s="10"/>
    </row>
    <row r="96" spans="1:10" x14ac:dyDescent="0.2">
      <c r="B96" s="10"/>
      <c r="C96" s="10"/>
      <c r="D96" s="10"/>
      <c r="E96" s="10"/>
    </row>
    <row r="97" spans="1:5" x14ac:dyDescent="0.2">
      <c r="B97" s="10"/>
      <c r="C97" s="10"/>
      <c r="D97" s="10"/>
      <c r="E97" s="10"/>
    </row>
    <row r="98" spans="1:5" x14ac:dyDescent="0.2">
      <c r="A98" s="9" t="s">
        <v>69</v>
      </c>
      <c r="B98" s="10"/>
      <c r="C98" s="10"/>
      <c r="D98" s="10"/>
      <c r="E98" s="10"/>
    </row>
    <row r="99" spans="1:5" x14ac:dyDescent="0.2">
      <c r="B99" s="10"/>
      <c r="C99" s="10"/>
      <c r="D99" s="10"/>
      <c r="E99" s="10"/>
    </row>
    <row r="100" spans="1:5" x14ac:dyDescent="0.2">
      <c r="B100" s="10"/>
      <c r="C100" s="10"/>
      <c r="D100" s="10"/>
      <c r="E100" s="10"/>
    </row>
    <row r="101" spans="1:5" x14ac:dyDescent="0.2">
      <c r="B101" s="10"/>
      <c r="C101" s="10"/>
      <c r="D101" s="10"/>
      <c r="E101" s="10"/>
    </row>
    <row r="102" spans="1:5" x14ac:dyDescent="0.2">
      <c r="B102" s="10"/>
      <c r="C102" s="10"/>
      <c r="D102" s="10"/>
      <c r="E102" s="10"/>
    </row>
    <row r="103" spans="1:5" x14ac:dyDescent="0.2">
      <c r="B103" s="10"/>
      <c r="C103" s="10"/>
      <c r="D103" s="10"/>
      <c r="E103" s="10"/>
    </row>
  </sheetData>
  <mergeCells count="2">
    <mergeCell ref="B67:C67"/>
    <mergeCell ref="B77:C77"/>
  </mergeCells>
  <phoneticPr fontId="2" type="noConversion"/>
  <pageMargins left="0.75" right="0.75" top="1" bottom="1" header="0" footer="0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3"/>
  <sheetViews>
    <sheetView zoomScale="80" zoomScaleNormal="80" workbookViewId="0">
      <selection activeCell="A4" sqref="A4"/>
    </sheetView>
  </sheetViews>
  <sheetFormatPr baseColWidth="10" defaultColWidth="11.42578125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2.7109375" bestFit="1" customWidth="1"/>
    <col min="6" max="9" width="11.5703125" bestFit="1" customWidth="1"/>
  </cols>
  <sheetData>
    <row r="1" spans="1:18" x14ac:dyDescent="0.2">
      <c r="D1" s="2"/>
      <c r="E1" s="2"/>
      <c r="F1" s="2"/>
      <c r="G1" s="2"/>
      <c r="H1" s="2"/>
      <c r="I1" s="2"/>
    </row>
    <row r="2" spans="1:18" x14ac:dyDescent="0.2">
      <c r="A2" s="20" t="s">
        <v>70</v>
      </c>
      <c r="B2" s="21" t="s">
        <v>1</v>
      </c>
      <c r="C2" s="21"/>
      <c r="D2" s="2"/>
      <c r="E2" s="2"/>
      <c r="F2" s="2"/>
      <c r="G2" s="2"/>
    </row>
    <row r="3" spans="1:18" x14ac:dyDescent="0.2">
      <c r="D3" s="2"/>
      <c r="E3" s="2"/>
      <c r="F3" s="2"/>
      <c r="G3" s="2"/>
    </row>
    <row r="4" spans="1:18" x14ac:dyDescent="0.2">
      <c r="A4" s="4" t="s">
        <v>71</v>
      </c>
      <c r="B4" s="10"/>
      <c r="C4" s="10"/>
      <c r="D4" s="10"/>
      <c r="E4" s="2"/>
      <c r="F4" s="2"/>
      <c r="G4" s="2"/>
    </row>
    <row r="5" spans="1:18" x14ac:dyDescent="0.2">
      <c r="B5" s="10"/>
      <c r="C5" s="10"/>
      <c r="D5" s="10"/>
      <c r="E5" s="13"/>
      <c r="F5" s="13"/>
      <c r="G5" s="13"/>
      <c r="H5" s="19"/>
      <c r="J5" s="18"/>
    </row>
    <row r="6" spans="1:18" x14ac:dyDescent="0.2">
      <c r="D6" s="2"/>
      <c r="E6" s="2"/>
      <c r="F6" s="2"/>
      <c r="G6" s="2"/>
      <c r="H6" s="2"/>
      <c r="I6" s="2"/>
    </row>
    <row r="7" spans="1:18" x14ac:dyDescent="0.2">
      <c r="C7" s="2"/>
      <c r="D7" s="2"/>
      <c r="E7" s="2"/>
      <c r="F7" s="2"/>
      <c r="G7" s="2"/>
      <c r="H7" s="2"/>
    </row>
    <row r="8" spans="1:18" x14ac:dyDescent="0.2">
      <c r="B8" s="10"/>
      <c r="C8" s="13"/>
      <c r="D8" s="13"/>
      <c r="E8" s="13"/>
      <c r="F8" s="13"/>
      <c r="G8" s="13"/>
      <c r="H8" s="13"/>
      <c r="I8" s="10"/>
      <c r="J8" s="10"/>
      <c r="K8" s="10"/>
      <c r="L8" s="10"/>
      <c r="M8" s="10"/>
    </row>
    <row r="9" spans="1:18" ht="15.75" x14ac:dyDescent="0.3">
      <c r="A9" s="6" t="s">
        <v>3</v>
      </c>
      <c r="B9" s="23" t="s">
        <v>4</v>
      </c>
      <c r="C9" s="11" t="s">
        <v>5</v>
      </c>
      <c r="D9" s="11" t="s">
        <v>6</v>
      </c>
      <c r="E9" s="11" t="s">
        <v>7</v>
      </c>
      <c r="F9" s="11" t="s">
        <v>8</v>
      </c>
      <c r="G9" s="11" t="s">
        <v>9</v>
      </c>
      <c r="H9" s="11" t="s">
        <v>10</v>
      </c>
      <c r="I9" s="11" t="s">
        <v>11</v>
      </c>
      <c r="J9" s="11" t="s">
        <v>12</v>
      </c>
      <c r="K9" s="11" t="s">
        <v>13</v>
      </c>
      <c r="L9" s="11" t="s">
        <v>14</v>
      </c>
      <c r="M9" s="11" t="s">
        <v>14</v>
      </c>
      <c r="N9" s="11" t="s">
        <v>14</v>
      </c>
    </row>
    <row r="10" spans="1:18" x14ac:dyDescent="0.2">
      <c r="C10" s="10"/>
      <c r="D10" s="13"/>
      <c r="E10" s="13"/>
      <c r="F10" s="13"/>
      <c r="G10" s="13"/>
      <c r="H10" s="13"/>
      <c r="I10" s="13"/>
      <c r="J10" s="10"/>
    </row>
    <row r="11" spans="1:18" x14ac:dyDescent="0.2">
      <c r="A11" t="s">
        <v>15</v>
      </c>
      <c r="B11" s="1" t="s">
        <v>16</v>
      </c>
      <c r="C11" s="13">
        <v>0</v>
      </c>
      <c r="D11" s="13">
        <v>0</v>
      </c>
      <c r="E11" s="13">
        <v>439</v>
      </c>
      <c r="F11" s="13">
        <v>0</v>
      </c>
      <c r="G11" s="13">
        <v>0</v>
      </c>
      <c r="H11" s="13">
        <v>0</v>
      </c>
      <c r="I11" s="13">
        <v>0</v>
      </c>
      <c r="J11" s="13">
        <v>0</v>
      </c>
      <c r="K11" s="2">
        <v>0</v>
      </c>
      <c r="L11" s="2">
        <v>0</v>
      </c>
      <c r="M11" s="2">
        <v>0</v>
      </c>
      <c r="N11" s="2">
        <v>0</v>
      </c>
      <c r="R11" s="1"/>
    </row>
    <row r="12" spans="1:18" x14ac:dyDescent="0.2">
      <c r="A12" t="s">
        <v>17</v>
      </c>
      <c r="B12" t="s">
        <v>18</v>
      </c>
      <c r="C12" s="13">
        <v>0</v>
      </c>
      <c r="D12" s="13">
        <v>0</v>
      </c>
      <c r="E12" s="13">
        <v>169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2">
        <v>0</v>
      </c>
      <c r="L12" s="2">
        <v>0</v>
      </c>
      <c r="M12" s="2">
        <v>0</v>
      </c>
      <c r="N12" s="2">
        <v>0</v>
      </c>
    </row>
    <row r="13" spans="1:18" x14ac:dyDescent="0.2">
      <c r="A13" t="s">
        <v>19</v>
      </c>
      <c r="B13" s="1" t="s">
        <v>20</v>
      </c>
      <c r="C13" s="13">
        <v>575</v>
      </c>
      <c r="D13" s="13">
        <v>0</v>
      </c>
      <c r="E13" s="13">
        <v>58</v>
      </c>
      <c r="F13" s="13">
        <v>0</v>
      </c>
      <c r="G13" s="13">
        <v>0</v>
      </c>
      <c r="H13" s="13"/>
      <c r="I13" s="13">
        <v>200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R13" s="1"/>
    </row>
    <row r="14" spans="1:18" x14ac:dyDescent="0.2">
      <c r="A14" t="s">
        <v>21</v>
      </c>
      <c r="B14" s="1" t="s">
        <v>22</v>
      </c>
      <c r="C14" s="13">
        <v>0</v>
      </c>
      <c r="D14" s="13">
        <v>0</v>
      </c>
      <c r="E14" s="13">
        <v>97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R14" s="1"/>
    </row>
    <row r="15" spans="1:18" x14ac:dyDescent="0.2">
      <c r="A15" t="s">
        <v>23</v>
      </c>
      <c r="B15" s="1" t="s">
        <v>24</v>
      </c>
      <c r="C15" s="13">
        <v>0</v>
      </c>
      <c r="D15" s="13">
        <v>0</v>
      </c>
      <c r="E15" s="13">
        <v>203</v>
      </c>
      <c r="F15" s="13">
        <v>0</v>
      </c>
      <c r="G15" s="13">
        <v>0</v>
      </c>
      <c r="H15" s="13">
        <v>192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R15" s="1"/>
    </row>
    <row r="16" spans="1:18" x14ac:dyDescent="0.2">
      <c r="A16" t="s">
        <v>25</v>
      </c>
      <c r="B16" s="1" t="s">
        <v>26</v>
      </c>
      <c r="C16" s="13">
        <v>812</v>
      </c>
      <c r="D16" s="13">
        <v>731</v>
      </c>
      <c r="E16" s="13">
        <v>700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R16" s="1"/>
    </row>
    <row r="17" spans="1:18" x14ac:dyDescent="0.2">
      <c r="A17" t="s">
        <v>27</v>
      </c>
      <c r="B17" s="1" t="s">
        <v>28</v>
      </c>
      <c r="C17" s="13">
        <v>0</v>
      </c>
      <c r="D17" s="13">
        <v>0</v>
      </c>
      <c r="E17" s="13">
        <v>71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R17" s="1"/>
    </row>
    <row r="18" spans="1:18" x14ac:dyDescent="0.2">
      <c r="A18" t="s">
        <v>29</v>
      </c>
      <c r="B18" s="1" t="s">
        <v>30</v>
      </c>
      <c r="C18" s="13">
        <v>1424.09</v>
      </c>
      <c r="D18" s="13">
        <v>0</v>
      </c>
      <c r="E18" s="13">
        <v>368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R18" s="1"/>
    </row>
    <row r="19" spans="1:18" x14ac:dyDescent="0.2">
      <c r="A19" t="s">
        <v>31</v>
      </c>
      <c r="B19" s="1" t="s">
        <v>32</v>
      </c>
      <c r="C19" s="13">
        <v>0</v>
      </c>
      <c r="D19" s="13">
        <v>0</v>
      </c>
      <c r="E19" s="13">
        <v>134</v>
      </c>
      <c r="F19" s="13">
        <v>60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R19" s="1"/>
    </row>
    <row r="20" spans="1:18" x14ac:dyDescent="0.2">
      <c r="A20" t="s">
        <v>33</v>
      </c>
      <c r="B20" s="1" t="s">
        <v>34</v>
      </c>
      <c r="C20" s="13">
        <v>806</v>
      </c>
      <c r="D20" s="13">
        <v>0</v>
      </c>
      <c r="E20" s="13"/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R20" s="1"/>
    </row>
    <row r="21" spans="1:18" x14ac:dyDescent="0.2">
      <c r="A21" t="s">
        <v>35</v>
      </c>
      <c r="B21" s="1" t="s">
        <v>36</v>
      </c>
      <c r="C21" s="13">
        <v>0</v>
      </c>
      <c r="D21" s="13">
        <v>0</v>
      </c>
      <c r="E21" s="13">
        <v>1043</v>
      </c>
      <c r="F21" s="13">
        <v>204</v>
      </c>
      <c r="G21" s="13">
        <v>7071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R21" s="1"/>
    </row>
    <row r="22" spans="1:18" x14ac:dyDescent="0.2">
      <c r="A22" t="s">
        <v>37</v>
      </c>
      <c r="B22" s="1" t="s">
        <v>38</v>
      </c>
      <c r="C22" s="13">
        <v>0</v>
      </c>
      <c r="D22" s="13">
        <v>0</v>
      </c>
      <c r="E22" s="13">
        <v>135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R22" s="1"/>
    </row>
    <row r="23" spans="1:18" x14ac:dyDescent="0.2">
      <c r="A23" t="s">
        <v>39</v>
      </c>
      <c r="B23" s="1" t="s">
        <v>40</v>
      </c>
      <c r="C23" s="13">
        <v>0</v>
      </c>
      <c r="D23" s="13">
        <v>0</v>
      </c>
      <c r="E23" s="13">
        <v>139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R23" s="1"/>
    </row>
    <row r="24" spans="1:18" x14ac:dyDescent="0.2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8" x14ac:dyDescent="0.2">
      <c r="A25" t="s">
        <v>41</v>
      </c>
      <c r="C25" s="2">
        <f t="shared" ref="C25:N25" si="0">+SUM(C11:C23)</f>
        <v>3617.09</v>
      </c>
      <c r="D25" s="2">
        <f t="shared" si="0"/>
        <v>731</v>
      </c>
      <c r="E25" s="2">
        <f t="shared" si="0"/>
        <v>3556</v>
      </c>
      <c r="F25" s="2">
        <f t="shared" si="0"/>
        <v>264</v>
      </c>
      <c r="G25" s="2">
        <f t="shared" si="0"/>
        <v>7071</v>
      </c>
      <c r="H25" s="2">
        <f t="shared" si="0"/>
        <v>192</v>
      </c>
      <c r="I25" s="2">
        <f t="shared" si="0"/>
        <v>200</v>
      </c>
      <c r="J25" s="2">
        <f t="shared" si="0"/>
        <v>0</v>
      </c>
      <c r="K25" s="2">
        <f t="shared" si="0"/>
        <v>0</v>
      </c>
      <c r="L25" s="2">
        <f t="shared" si="0"/>
        <v>0</v>
      </c>
      <c r="M25" s="2">
        <f t="shared" si="0"/>
        <v>0</v>
      </c>
      <c r="N25" s="2">
        <f t="shared" si="0"/>
        <v>0</v>
      </c>
      <c r="O25" s="2">
        <f>+SUM(C25:N25)</f>
        <v>15631.09</v>
      </c>
    </row>
    <row r="26" spans="1:18" x14ac:dyDescent="0.2">
      <c r="A26" s="9" t="s">
        <v>42</v>
      </c>
      <c r="D26" s="2"/>
      <c r="E26" s="2"/>
      <c r="F26" s="2"/>
      <c r="G26" s="2"/>
      <c r="H26" s="2"/>
      <c r="I26" s="2"/>
    </row>
    <row r="27" spans="1:18" x14ac:dyDescent="0.2">
      <c r="D27" s="2"/>
      <c r="E27" s="2"/>
      <c r="F27" s="2"/>
      <c r="G27" s="2"/>
      <c r="H27" s="2"/>
      <c r="I27" s="2"/>
    </row>
    <row r="28" spans="1:18" x14ac:dyDescent="0.2">
      <c r="A28" s="4" t="s">
        <v>72</v>
      </c>
      <c r="B28" s="10"/>
      <c r="C28" s="10"/>
      <c r="D28" s="10"/>
      <c r="E28" s="10"/>
      <c r="F28" s="13"/>
      <c r="G28" s="2"/>
      <c r="H28" s="19"/>
      <c r="I28" s="19"/>
      <c r="J28" s="18"/>
    </row>
    <row r="29" spans="1:18" x14ac:dyDescent="0.2">
      <c r="B29" s="10"/>
      <c r="C29" s="10"/>
      <c r="D29" s="10"/>
      <c r="E29" s="10"/>
      <c r="F29" s="13"/>
      <c r="G29" s="2"/>
      <c r="H29" s="2"/>
      <c r="I29" s="2"/>
    </row>
    <row r="30" spans="1:18" x14ac:dyDescent="0.2">
      <c r="B30" s="10"/>
      <c r="C30" s="5" t="s">
        <v>44</v>
      </c>
      <c r="D30" s="5" t="s">
        <v>44</v>
      </c>
      <c r="E30" s="12"/>
      <c r="F30" s="13"/>
      <c r="G30" s="2"/>
      <c r="H30" s="2"/>
      <c r="I30" s="2"/>
    </row>
    <row r="31" spans="1:18" x14ac:dyDescent="0.2">
      <c r="A31" t="s">
        <v>45</v>
      </c>
      <c r="B31" s="10"/>
      <c r="C31" s="10" t="s">
        <v>47</v>
      </c>
      <c r="D31" s="10" t="s">
        <v>73</v>
      </c>
      <c r="E31" s="12" t="s">
        <v>48</v>
      </c>
      <c r="F31" s="13"/>
      <c r="G31" s="2"/>
      <c r="H31" s="2"/>
      <c r="I31" s="2"/>
    </row>
    <row r="32" spans="1:18" x14ac:dyDescent="0.2">
      <c r="A32" s="6"/>
      <c r="B32" s="11"/>
      <c r="C32" s="7">
        <v>2030</v>
      </c>
      <c r="D32" s="7">
        <v>2030</v>
      </c>
      <c r="E32" s="8" t="s">
        <v>49</v>
      </c>
      <c r="F32" s="13"/>
      <c r="G32" s="2"/>
      <c r="H32" s="2"/>
      <c r="I32" s="2"/>
    </row>
    <row r="33" spans="1:10" x14ac:dyDescent="0.2">
      <c r="A33" t="s">
        <v>8</v>
      </c>
      <c r="B33" s="12"/>
      <c r="C33" s="12">
        <v>264</v>
      </c>
      <c r="D33" s="13">
        <v>264</v>
      </c>
      <c r="E33" s="15">
        <f t="shared" ref="E33:E42" si="1">+D33/C33-1</f>
        <v>0</v>
      </c>
      <c r="F33" s="13"/>
      <c r="G33" s="2"/>
      <c r="H33" s="2"/>
      <c r="I33" s="2"/>
    </row>
    <row r="34" spans="1:10" x14ac:dyDescent="0.2">
      <c r="A34" t="s">
        <v>50</v>
      </c>
      <c r="B34" s="12"/>
      <c r="C34" s="12">
        <v>4944.6499999999996</v>
      </c>
      <c r="D34" s="13">
        <v>3617.09</v>
      </c>
      <c r="E34" s="15">
        <f t="shared" si="1"/>
        <v>-0.26848411919953885</v>
      </c>
      <c r="F34" s="13"/>
      <c r="G34" s="2"/>
      <c r="H34" s="2"/>
      <c r="I34" s="2"/>
    </row>
    <row r="35" spans="1:10" x14ac:dyDescent="0.2">
      <c r="A35" t="s">
        <v>51</v>
      </c>
      <c r="B35" s="12"/>
      <c r="C35" s="12">
        <v>731</v>
      </c>
      <c r="D35" s="13">
        <v>731</v>
      </c>
      <c r="E35" s="15">
        <f t="shared" si="1"/>
        <v>0</v>
      </c>
      <c r="F35" s="13"/>
      <c r="G35" s="2"/>
      <c r="H35" s="2"/>
      <c r="I35" s="2"/>
    </row>
    <row r="36" spans="1:10" x14ac:dyDescent="0.2">
      <c r="A36" t="s">
        <v>52</v>
      </c>
      <c r="B36" s="10"/>
      <c r="C36" s="12">
        <v>3556</v>
      </c>
      <c r="D36" s="13">
        <v>3556</v>
      </c>
      <c r="E36" s="15">
        <f t="shared" si="1"/>
        <v>0</v>
      </c>
      <c r="F36" s="13"/>
      <c r="G36" s="2"/>
      <c r="H36" s="2"/>
      <c r="I36" s="2"/>
    </row>
    <row r="37" spans="1:10" x14ac:dyDescent="0.2">
      <c r="A37" t="s">
        <v>9</v>
      </c>
      <c r="B37" s="10"/>
      <c r="C37" s="12">
        <v>5571</v>
      </c>
      <c r="D37" s="13">
        <v>7071</v>
      </c>
      <c r="E37" s="15">
        <f t="shared" si="1"/>
        <v>0.26925148088314477</v>
      </c>
      <c r="F37" s="13"/>
      <c r="G37" s="2"/>
      <c r="H37" s="2"/>
      <c r="I37" s="2"/>
    </row>
    <row r="38" spans="1:10" x14ac:dyDescent="0.2">
      <c r="A38" t="s">
        <v>10</v>
      </c>
      <c r="B38" s="10"/>
      <c r="C38" s="12">
        <v>192</v>
      </c>
      <c r="D38" s="13">
        <v>192</v>
      </c>
      <c r="E38" s="15">
        <f t="shared" si="1"/>
        <v>0</v>
      </c>
      <c r="F38" s="13"/>
      <c r="G38" s="2"/>
      <c r="H38" s="2"/>
      <c r="I38" s="2"/>
    </row>
    <row r="39" spans="1:10" x14ac:dyDescent="0.2">
      <c r="A39" t="s">
        <v>11</v>
      </c>
      <c r="B39" s="10"/>
      <c r="C39" s="12">
        <v>200</v>
      </c>
      <c r="D39" s="13">
        <v>200</v>
      </c>
      <c r="E39" s="15">
        <f t="shared" si="1"/>
        <v>0</v>
      </c>
      <c r="F39" s="13"/>
      <c r="G39" s="2"/>
      <c r="H39" s="2"/>
      <c r="I39" s="2"/>
    </row>
    <row r="40" spans="1:10" x14ac:dyDescent="0.2">
      <c r="A40" t="s">
        <v>12</v>
      </c>
      <c r="B40" s="10"/>
      <c r="C40" s="13">
        <v>0</v>
      </c>
      <c r="D40" s="13">
        <v>0</v>
      </c>
      <c r="E40" s="15" t="e">
        <f t="shared" si="1"/>
        <v>#DIV/0!</v>
      </c>
      <c r="F40" s="13"/>
      <c r="G40" s="2"/>
      <c r="H40" s="2"/>
      <c r="I40" s="2"/>
    </row>
    <row r="41" spans="1:10" x14ac:dyDescent="0.2">
      <c r="A41" t="s">
        <v>13</v>
      </c>
      <c r="B41" s="10"/>
      <c r="C41" s="13">
        <v>0</v>
      </c>
      <c r="D41" s="13">
        <v>0</v>
      </c>
      <c r="E41" s="15" t="e">
        <f t="shared" si="1"/>
        <v>#DIV/0!</v>
      </c>
      <c r="F41" s="13"/>
      <c r="G41" s="2"/>
      <c r="H41" s="2"/>
      <c r="I41" s="2"/>
    </row>
    <row r="42" spans="1:10" x14ac:dyDescent="0.2">
      <c r="A42" s="6" t="s">
        <v>53</v>
      </c>
      <c r="B42" s="11"/>
      <c r="C42" s="14">
        <v>0</v>
      </c>
      <c r="D42" s="14">
        <v>0</v>
      </c>
      <c r="E42" s="22" t="e">
        <f t="shared" si="1"/>
        <v>#DIV/0!</v>
      </c>
      <c r="F42" s="13"/>
      <c r="G42" s="2"/>
      <c r="H42" s="2"/>
      <c r="I42" s="2"/>
    </row>
    <row r="43" spans="1:10" x14ac:dyDescent="0.2">
      <c r="D43" s="2"/>
      <c r="E43" s="2"/>
      <c r="F43" s="2"/>
      <c r="G43" s="2"/>
      <c r="H43" s="2"/>
      <c r="I43" s="2"/>
    </row>
    <row r="44" spans="1:10" x14ac:dyDescent="0.2">
      <c r="A44" t="s">
        <v>41</v>
      </c>
      <c r="C44" s="2">
        <f>+SUM(C33:C42)</f>
        <v>15458.65</v>
      </c>
      <c r="D44" s="2">
        <f>+SUM(D33:D42)</f>
        <v>15631.09</v>
      </c>
      <c r="E44" s="2"/>
      <c r="F44" s="2"/>
      <c r="G44" s="2"/>
      <c r="H44" s="2"/>
      <c r="I44" s="2"/>
    </row>
    <row r="45" spans="1:10" x14ac:dyDescent="0.2">
      <c r="D45" s="2"/>
      <c r="E45" s="2"/>
      <c r="F45" s="2"/>
      <c r="G45" s="2"/>
      <c r="H45" s="2"/>
      <c r="I45" s="2"/>
    </row>
    <row r="46" spans="1:10" x14ac:dyDescent="0.2">
      <c r="A46" s="4" t="s">
        <v>74</v>
      </c>
      <c r="B46" s="10"/>
      <c r="C46" s="10"/>
      <c r="D46" s="10"/>
      <c r="E46" s="10"/>
      <c r="F46" s="2"/>
      <c r="G46" s="2"/>
      <c r="H46" s="19"/>
      <c r="I46" s="19"/>
      <c r="J46" s="18"/>
    </row>
    <row r="47" spans="1:10" x14ac:dyDescent="0.2">
      <c r="B47" s="10"/>
      <c r="C47" s="10"/>
      <c r="D47" s="10"/>
      <c r="E47" s="10"/>
      <c r="F47" s="2"/>
      <c r="G47" s="2"/>
      <c r="H47" s="2"/>
      <c r="I47" s="2"/>
    </row>
    <row r="48" spans="1:10" x14ac:dyDescent="0.2">
      <c r="B48" s="10"/>
      <c r="C48" s="5" t="s">
        <v>55</v>
      </c>
      <c r="D48" s="5" t="s">
        <v>55</v>
      </c>
      <c r="E48" s="10"/>
      <c r="F48" s="2"/>
      <c r="G48" s="2"/>
      <c r="H48" s="2"/>
      <c r="I48" s="2"/>
    </row>
    <row r="49" spans="1:9" x14ac:dyDescent="0.2">
      <c r="B49" s="10"/>
      <c r="C49" s="10" t="s">
        <v>47</v>
      </c>
      <c r="D49" s="10" t="s">
        <v>73</v>
      </c>
      <c r="E49" s="12" t="s">
        <v>48</v>
      </c>
      <c r="F49" s="2"/>
      <c r="G49" s="2"/>
      <c r="H49" s="2"/>
      <c r="I49" s="2"/>
    </row>
    <row r="50" spans="1:9" x14ac:dyDescent="0.2">
      <c r="A50" s="6"/>
      <c r="B50" s="11"/>
      <c r="C50" s="7">
        <v>2030</v>
      </c>
      <c r="D50" s="7">
        <v>2030</v>
      </c>
      <c r="E50" s="8" t="s">
        <v>49</v>
      </c>
      <c r="F50" s="2"/>
      <c r="G50" s="2"/>
      <c r="H50" s="2"/>
      <c r="I50" s="2"/>
    </row>
    <row r="51" spans="1:9" x14ac:dyDescent="0.2">
      <c r="A51" t="s">
        <v>8</v>
      </c>
      <c r="B51" s="10"/>
      <c r="C51" s="13">
        <v>1271.6400000000001</v>
      </c>
      <c r="D51" s="13">
        <v>1271.6400000000001</v>
      </c>
      <c r="E51" s="15">
        <f t="shared" ref="E51:E56" si="2">+D51/C51-1</f>
        <v>0</v>
      </c>
      <c r="F51" s="2"/>
      <c r="G51" s="2"/>
      <c r="H51" s="2"/>
      <c r="I51" s="2"/>
    </row>
    <row r="52" spans="1:9" x14ac:dyDescent="0.2">
      <c r="A52" t="s">
        <v>50</v>
      </c>
      <c r="B52" s="10"/>
      <c r="C52" s="13">
        <v>34581.54</v>
      </c>
      <c r="D52" s="13">
        <v>25461.200000000001</v>
      </c>
      <c r="E52" s="15">
        <f t="shared" si="2"/>
        <v>-0.26373435075476681</v>
      </c>
      <c r="F52" s="2"/>
      <c r="G52" s="2"/>
      <c r="H52" s="2"/>
      <c r="I52" s="2"/>
    </row>
    <row r="53" spans="1:9" x14ac:dyDescent="0.2">
      <c r="A53" t="s">
        <v>51</v>
      </c>
      <c r="B53" s="10"/>
      <c r="C53" s="13">
        <v>815.8</v>
      </c>
      <c r="D53" s="13">
        <v>1744.62</v>
      </c>
      <c r="E53" s="15">
        <f t="shared" si="2"/>
        <v>1.1385388575631281</v>
      </c>
      <c r="F53" s="2"/>
      <c r="G53" s="2"/>
      <c r="H53" s="2"/>
      <c r="I53" s="2"/>
    </row>
    <row r="54" spans="1:9" x14ac:dyDescent="0.2">
      <c r="A54" t="s">
        <v>52</v>
      </c>
      <c r="B54" s="10"/>
      <c r="C54" s="13">
        <v>849.59</v>
      </c>
      <c r="D54" s="13">
        <v>772.8</v>
      </c>
      <c r="E54" s="15">
        <f t="shared" si="2"/>
        <v>-9.0384773832083765E-2</v>
      </c>
      <c r="F54" s="2"/>
      <c r="G54" s="2"/>
      <c r="H54" s="2"/>
      <c r="I54" s="2"/>
    </row>
    <row r="55" spans="1:9" x14ac:dyDescent="0.2">
      <c r="A55" t="s">
        <v>9</v>
      </c>
      <c r="B55" s="10"/>
      <c r="C55" s="13">
        <v>30708.48</v>
      </c>
      <c r="D55" s="13">
        <v>38976.78</v>
      </c>
      <c r="E55" s="15">
        <f t="shared" si="2"/>
        <v>0.26925135988495685</v>
      </c>
      <c r="F55" s="2"/>
      <c r="G55" s="2"/>
      <c r="H55" s="2"/>
      <c r="I55" s="2"/>
    </row>
    <row r="56" spans="1:9" x14ac:dyDescent="0.2">
      <c r="A56" t="s">
        <v>10</v>
      </c>
      <c r="B56" s="10"/>
      <c r="C56" s="13">
        <v>420.48</v>
      </c>
      <c r="D56" s="13">
        <v>420.48</v>
      </c>
      <c r="E56" s="15">
        <f t="shared" si="2"/>
        <v>0</v>
      </c>
      <c r="F56" s="2"/>
      <c r="G56" s="2"/>
      <c r="H56" s="2"/>
      <c r="I56" s="2"/>
    </row>
    <row r="57" spans="1:9" x14ac:dyDescent="0.2">
      <c r="A57" t="s">
        <v>11</v>
      </c>
      <c r="B57" s="10"/>
      <c r="C57" s="13">
        <v>438</v>
      </c>
      <c r="D57" s="13">
        <v>438</v>
      </c>
      <c r="E57" s="15">
        <f t="shared" ref="E57:E60" si="3">+D57/C57-1</f>
        <v>0</v>
      </c>
      <c r="F57" s="2"/>
      <c r="G57" s="2"/>
      <c r="H57" s="2"/>
      <c r="I57" s="2"/>
    </row>
    <row r="58" spans="1:9" x14ac:dyDescent="0.2">
      <c r="A58" t="s">
        <v>12</v>
      </c>
      <c r="B58" s="10"/>
      <c r="C58" s="13">
        <v>0</v>
      </c>
      <c r="D58" s="13">
        <v>0</v>
      </c>
      <c r="E58" s="15" t="e">
        <f t="shared" si="3"/>
        <v>#DIV/0!</v>
      </c>
      <c r="F58" s="2"/>
      <c r="G58" s="2"/>
      <c r="H58" s="2"/>
      <c r="I58" s="2"/>
    </row>
    <row r="59" spans="1:9" x14ac:dyDescent="0.2">
      <c r="A59" t="s">
        <v>13</v>
      </c>
      <c r="B59" s="10"/>
      <c r="C59" s="10">
        <v>0</v>
      </c>
      <c r="D59" s="13">
        <v>0</v>
      </c>
      <c r="E59" s="15" t="e">
        <f t="shared" si="3"/>
        <v>#DIV/0!</v>
      </c>
      <c r="F59" s="2"/>
      <c r="G59" s="2"/>
      <c r="H59" s="2"/>
      <c r="I59" s="2"/>
    </row>
    <row r="60" spans="1:9" x14ac:dyDescent="0.2">
      <c r="A60" s="6" t="s">
        <v>53</v>
      </c>
      <c r="B60" s="11"/>
      <c r="C60" s="11">
        <v>0</v>
      </c>
      <c r="D60" s="14">
        <v>0</v>
      </c>
      <c r="E60" s="22" t="e">
        <f t="shared" si="3"/>
        <v>#DIV/0!</v>
      </c>
      <c r="F60" s="2"/>
      <c r="G60" s="2"/>
      <c r="H60" s="2"/>
      <c r="I60" s="2"/>
    </row>
    <row r="61" spans="1:9" x14ac:dyDescent="0.2">
      <c r="B61" s="10"/>
      <c r="C61" s="10"/>
      <c r="D61" s="13"/>
      <c r="E61" s="13"/>
      <c r="F61" s="2"/>
      <c r="G61" s="2"/>
      <c r="H61" s="2"/>
      <c r="I61" s="2"/>
    </row>
    <row r="62" spans="1:9" x14ac:dyDescent="0.2">
      <c r="A62" t="s">
        <v>41</v>
      </c>
      <c r="B62" s="10"/>
      <c r="C62" s="13">
        <f>+SUM(C51:C60)</f>
        <v>69085.53</v>
      </c>
      <c r="D62" s="13">
        <f>+SUM(D51:D60)</f>
        <v>69085.51999999999</v>
      </c>
      <c r="E62" s="13"/>
      <c r="F62" s="2"/>
      <c r="G62" s="2"/>
      <c r="H62" s="2"/>
      <c r="I62" s="2"/>
    </row>
    <row r="63" spans="1:9" x14ac:dyDescent="0.2">
      <c r="D63" s="2"/>
      <c r="E63" s="2"/>
      <c r="F63" s="2"/>
      <c r="G63" s="2"/>
      <c r="H63" s="2"/>
      <c r="I63" s="2"/>
    </row>
    <row r="65" spans="1:10" x14ac:dyDescent="0.2">
      <c r="A65" s="4" t="s">
        <v>75</v>
      </c>
      <c r="E65" s="10"/>
      <c r="H65" s="19"/>
      <c r="I65" s="19"/>
      <c r="J65" s="18"/>
    </row>
    <row r="66" spans="1:10" x14ac:dyDescent="0.2">
      <c r="E66" s="10"/>
    </row>
    <row r="67" spans="1:10" x14ac:dyDescent="0.2">
      <c r="B67" s="24" t="s">
        <v>76</v>
      </c>
      <c r="C67" s="24"/>
      <c r="E67" s="10"/>
    </row>
    <row r="68" spans="1:10" x14ac:dyDescent="0.2">
      <c r="B68" s="10" t="s">
        <v>47</v>
      </c>
      <c r="C68" s="10" t="s">
        <v>73</v>
      </c>
      <c r="D68" s="3" t="s">
        <v>48</v>
      </c>
      <c r="E68" s="10"/>
    </row>
    <row r="69" spans="1:10" x14ac:dyDescent="0.2">
      <c r="A69" s="6" t="s">
        <v>59</v>
      </c>
      <c r="B69" s="7">
        <v>2030</v>
      </c>
      <c r="C69" s="7">
        <v>2030</v>
      </c>
      <c r="D69" s="8" t="s">
        <v>49</v>
      </c>
      <c r="E69" s="10"/>
    </row>
    <row r="70" spans="1:10" x14ac:dyDescent="0.2">
      <c r="A70" t="s">
        <v>56</v>
      </c>
      <c r="E70" s="10"/>
    </row>
    <row r="71" spans="1:10" x14ac:dyDescent="0.2">
      <c r="A71" t="s">
        <v>60</v>
      </c>
      <c r="B71" s="2">
        <v>1658.5748000000001</v>
      </c>
      <c r="C71" s="2">
        <v>1736.9871000000001</v>
      </c>
      <c r="D71" s="15">
        <f>+C71/B71-1</f>
        <v>4.7276915096021055E-2</v>
      </c>
      <c r="E71" s="10"/>
    </row>
    <row r="72" spans="1:10" x14ac:dyDescent="0.2">
      <c r="A72" s="6"/>
      <c r="B72" s="6"/>
      <c r="C72" s="6"/>
      <c r="D72" s="6"/>
      <c r="E72" s="10"/>
    </row>
    <row r="73" spans="1:10" x14ac:dyDescent="0.2">
      <c r="B73" s="10"/>
      <c r="C73" s="10"/>
      <c r="D73" s="10"/>
      <c r="E73" s="10"/>
    </row>
    <row r="74" spans="1:10" x14ac:dyDescent="0.2">
      <c r="B74" s="10"/>
      <c r="C74" s="10"/>
      <c r="D74" s="10"/>
      <c r="E74" s="10"/>
    </row>
    <row r="75" spans="1:10" x14ac:dyDescent="0.2">
      <c r="A75" s="4" t="s">
        <v>77</v>
      </c>
      <c r="E75" s="10"/>
      <c r="H75" s="19"/>
      <c r="I75" s="19"/>
      <c r="J75" s="18"/>
    </row>
    <row r="76" spans="1:10" x14ac:dyDescent="0.2">
      <c r="E76" s="10"/>
    </row>
    <row r="77" spans="1:10" x14ac:dyDescent="0.2">
      <c r="B77" s="24" t="s">
        <v>78</v>
      </c>
      <c r="C77" s="24"/>
      <c r="E77" s="10"/>
    </row>
    <row r="78" spans="1:10" x14ac:dyDescent="0.2">
      <c r="B78" s="10" t="s">
        <v>47</v>
      </c>
      <c r="C78" s="10" t="s">
        <v>73</v>
      </c>
      <c r="D78" s="3" t="s">
        <v>48</v>
      </c>
      <c r="E78" s="10"/>
    </row>
    <row r="79" spans="1:10" x14ac:dyDescent="0.2">
      <c r="A79" s="6" t="s">
        <v>59</v>
      </c>
      <c r="B79" s="7">
        <v>2030</v>
      </c>
      <c r="C79" s="7">
        <v>2030</v>
      </c>
      <c r="D79" s="8" t="s">
        <v>49</v>
      </c>
      <c r="E79" s="10"/>
    </row>
    <row r="80" spans="1:10" x14ac:dyDescent="0.2">
      <c r="A80" t="s">
        <v>56</v>
      </c>
      <c r="E80" s="10"/>
    </row>
    <row r="81" spans="1:10" x14ac:dyDescent="0.2">
      <c r="A81" t="s">
        <v>60</v>
      </c>
      <c r="B81" s="2">
        <v>470.37060000000002</v>
      </c>
      <c r="C81" s="2">
        <v>35.270200000000003</v>
      </c>
      <c r="D81" s="15">
        <f>+C81/B81-1</f>
        <v>-0.92501614684251099</v>
      </c>
      <c r="E81" s="10"/>
    </row>
    <row r="82" spans="1:10" x14ac:dyDescent="0.2">
      <c r="A82" s="6"/>
      <c r="B82" s="6"/>
      <c r="C82" s="6"/>
      <c r="D82" s="6"/>
      <c r="E82" s="10"/>
    </row>
    <row r="83" spans="1:10" x14ac:dyDescent="0.2">
      <c r="B83" s="10"/>
      <c r="C83" s="10"/>
      <c r="D83" s="10"/>
      <c r="E83" s="10"/>
    </row>
    <row r="84" spans="1:10" x14ac:dyDescent="0.2">
      <c r="B84" s="10"/>
      <c r="C84" s="10"/>
      <c r="D84" s="10"/>
      <c r="E84" s="10"/>
    </row>
    <row r="85" spans="1:10" x14ac:dyDescent="0.2">
      <c r="A85" s="4" t="s">
        <v>79</v>
      </c>
      <c r="E85" s="10"/>
      <c r="H85" s="19"/>
      <c r="I85" s="19"/>
      <c r="J85" s="18"/>
    </row>
    <row r="86" spans="1:10" x14ac:dyDescent="0.2">
      <c r="A86" s="4" t="s">
        <v>64</v>
      </c>
      <c r="E86" s="10"/>
    </row>
    <row r="87" spans="1:10" x14ac:dyDescent="0.2">
      <c r="E87" s="10"/>
    </row>
    <row r="88" spans="1:10" x14ac:dyDescent="0.2">
      <c r="B88" s="10" t="s">
        <v>47</v>
      </c>
      <c r="C88" s="10" t="s">
        <v>73</v>
      </c>
      <c r="D88" s="3" t="s">
        <v>48</v>
      </c>
      <c r="E88" s="10"/>
    </row>
    <row r="89" spans="1:10" x14ac:dyDescent="0.2">
      <c r="A89" s="6"/>
      <c r="B89" s="7" t="s">
        <v>80</v>
      </c>
      <c r="C89" s="7">
        <v>2030</v>
      </c>
      <c r="D89" s="8" t="s">
        <v>49</v>
      </c>
      <c r="E89" s="10"/>
    </row>
    <row r="90" spans="1:10" x14ac:dyDescent="0.2">
      <c r="A90" t="s">
        <v>65</v>
      </c>
      <c r="B90" s="2">
        <v>2741.67</v>
      </c>
      <c r="C90" s="2">
        <v>2623.06</v>
      </c>
      <c r="D90" s="15">
        <f>+C90/B90-1</f>
        <v>-4.3261953480907667E-2</v>
      </c>
      <c r="F90" s="2"/>
    </row>
    <row r="91" spans="1:10" x14ac:dyDescent="0.2">
      <c r="A91" t="s">
        <v>66</v>
      </c>
      <c r="B91" s="2">
        <v>6138.89</v>
      </c>
      <c r="C91" s="2">
        <v>6504.26</v>
      </c>
      <c r="D91" s="15">
        <f>+C91/B91-1</f>
        <v>5.9517274295515898E-2</v>
      </c>
      <c r="E91" s="10"/>
      <c r="F91" s="2"/>
    </row>
    <row r="92" spans="1:10" x14ac:dyDescent="0.2">
      <c r="A92" t="s">
        <v>67</v>
      </c>
      <c r="B92" s="2">
        <v>250363.01</v>
      </c>
      <c r="C92" s="2">
        <v>43413.17</v>
      </c>
      <c r="D92" s="15">
        <f>+C92/B92-1</f>
        <v>-0.82659910503552425</v>
      </c>
      <c r="E92" s="10"/>
      <c r="F92" s="2"/>
    </row>
    <row r="93" spans="1:10" ht="15.75" x14ac:dyDescent="0.3">
      <c r="A93" s="1" t="s">
        <v>68</v>
      </c>
      <c r="B93" s="2">
        <v>28252513.120000001</v>
      </c>
      <c r="C93" s="2">
        <v>21778189.309999999</v>
      </c>
      <c r="D93" s="15">
        <f>+C93/B93-1</f>
        <v>-0.22915921788978189</v>
      </c>
      <c r="E93" s="10"/>
      <c r="F93" s="2"/>
    </row>
    <row r="94" spans="1:10" x14ac:dyDescent="0.2">
      <c r="A94" s="6"/>
      <c r="B94" s="6"/>
      <c r="C94" s="6"/>
      <c r="D94" s="6"/>
      <c r="E94" s="10"/>
    </row>
    <row r="95" spans="1:10" x14ac:dyDescent="0.2">
      <c r="B95" s="10"/>
      <c r="C95" s="10"/>
      <c r="D95" s="10"/>
      <c r="E95" s="10"/>
    </row>
    <row r="96" spans="1:10" x14ac:dyDescent="0.2">
      <c r="B96" s="10"/>
      <c r="C96" s="10"/>
      <c r="D96" s="10"/>
      <c r="E96" s="10"/>
    </row>
    <row r="97" spans="1:5" x14ac:dyDescent="0.2">
      <c r="B97" s="10"/>
      <c r="C97" s="10"/>
      <c r="D97" s="10"/>
      <c r="E97" s="10"/>
    </row>
    <row r="98" spans="1:5" x14ac:dyDescent="0.2">
      <c r="A98" s="9" t="s">
        <v>81</v>
      </c>
      <c r="B98" s="10"/>
      <c r="C98" s="10"/>
      <c r="D98" s="10"/>
      <c r="E98" s="10"/>
    </row>
    <row r="99" spans="1:5" x14ac:dyDescent="0.2">
      <c r="B99" s="10"/>
      <c r="C99" s="10"/>
      <c r="D99" s="10"/>
      <c r="E99" s="10"/>
    </row>
    <row r="100" spans="1:5" x14ac:dyDescent="0.2">
      <c r="B100" s="10"/>
      <c r="C100" s="10"/>
      <c r="D100" s="10"/>
      <c r="E100" s="10"/>
    </row>
    <row r="101" spans="1:5" x14ac:dyDescent="0.2">
      <c r="B101" s="10"/>
      <c r="C101" s="10"/>
      <c r="D101" s="10"/>
      <c r="E101" s="10"/>
    </row>
    <row r="102" spans="1:5" x14ac:dyDescent="0.2">
      <c r="B102" s="10"/>
      <c r="C102" s="10"/>
      <c r="D102" s="10"/>
      <c r="E102" s="10"/>
    </row>
    <row r="103" spans="1:5" x14ac:dyDescent="0.2">
      <c r="B103" s="10"/>
      <c r="C103" s="10"/>
      <c r="D103" s="10"/>
      <c r="E103" s="10"/>
    </row>
  </sheetData>
  <mergeCells count="2">
    <mergeCell ref="B67:C67"/>
    <mergeCell ref="B77:C77"/>
  </mergeCells>
  <phoneticPr fontId="2" type="noConversion"/>
  <pageMargins left="0.75" right="0.75" top="1" bottom="1" header="0" footer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preg1-Norma</vt:lpstr>
      <vt:lpstr>preg2- Pol Optima</vt:lpstr>
    </vt:vector>
  </TitlesOfParts>
  <Manager/>
  <Company>Aes Gener S.A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CMunozM</dc:creator>
  <cp:keywords/>
  <dc:description/>
  <cp:lastModifiedBy>Diego Patricio Garcés Pino</cp:lastModifiedBy>
  <cp:revision/>
  <dcterms:created xsi:type="dcterms:W3CDTF">2011-09-07T01:25:19Z</dcterms:created>
  <dcterms:modified xsi:type="dcterms:W3CDTF">2025-11-15T17:03:00Z</dcterms:modified>
  <cp:category/>
  <cp:contentStatus/>
</cp:coreProperties>
</file>